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2803c6536e24e3/Privat/"/>
    </mc:Choice>
  </mc:AlternateContent>
  <xr:revisionPtr revIDLastSave="685" documentId="8_{041C95A8-FF2E-114C-B650-D379DED00988}" xr6:coauthVersionLast="47" xr6:coauthVersionMax="47" xr10:uidLastSave="{C8FBA280-2652-417C-B819-21EA438AA8C2}"/>
  <bookViews>
    <workbookView xWindow="-120" yWindow="-120" windowWidth="29040" windowHeight="15720" activeTab="2" xr2:uid="{8A8C0742-13A5-1542-BAF7-E1A001F7B0C0}"/>
  </bookViews>
  <sheets>
    <sheet name="Loot History" sheetId="1" r:id="rId1"/>
    <sheet name="Player Lookup" sheetId="3" r:id="rId2"/>
    <sheet name="Dashboard" sheetId="2" r:id="rId3"/>
  </sheets>
  <definedNames>
    <definedName name="_xlnm._FilterDatabase" localSheetId="0" hidden="1">'Loot History'!$A$1:$T$200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3" l="1" a="1"/>
  <c r="S2" i="3" s="1"/>
  <c r="A6" i="3" a="1"/>
  <c r="A6" i="3" s="1"/>
  <c r="L127" i="1"/>
  <c r="D127" i="1"/>
  <c r="D126" i="1"/>
  <c r="L125" i="1"/>
  <c r="D125" i="1"/>
  <c r="M124" i="1"/>
  <c r="L124" i="1"/>
  <c r="D124" i="1"/>
  <c r="L123" i="1"/>
  <c r="D123" i="1"/>
  <c r="M122" i="1"/>
  <c r="L122" i="1"/>
  <c r="D122" i="1"/>
  <c r="L121" i="1"/>
  <c r="D121" i="1"/>
  <c r="L120" i="1"/>
  <c r="D120" i="1"/>
  <c r="L119" i="1"/>
  <c r="D119" i="1"/>
  <c r="M118" i="1"/>
  <c r="L118" i="1"/>
  <c r="D118" i="1"/>
  <c r="L117" i="1"/>
  <c r="D117" i="1"/>
  <c r="L116" i="1"/>
  <c r="D116" i="1"/>
  <c r="D115" i="1"/>
  <c r="M114" i="1"/>
  <c r="L114" i="1"/>
  <c r="D114" i="1"/>
  <c r="L113" i="1"/>
  <c r="D113" i="1"/>
  <c r="L112" i="1"/>
  <c r="D112" i="1"/>
  <c r="L111" i="1"/>
  <c r="D111" i="1"/>
  <c r="L110" i="1"/>
  <c r="D110" i="1"/>
  <c r="L109" i="1"/>
  <c r="D109" i="1"/>
  <c r="L108" i="1"/>
  <c r="D108" i="1"/>
  <c r="D107" i="1"/>
  <c r="L106" i="1"/>
  <c r="D106" i="1"/>
  <c r="L105" i="1"/>
  <c r="D105" i="1"/>
  <c r="L104" i="1"/>
  <c r="D104" i="1"/>
  <c r="L103" i="1"/>
  <c r="D103" i="1"/>
  <c r="L102" i="1"/>
  <c r="D102" i="1"/>
  <c r="D101" i="1"/>
  <c r="M100" i="1"/>
  <c r="L100" i="1"/>
  <c r="D100" i="1"/>
  <c r="L99" i="1"/>
  <c r="D99" i="1"/>
  <c r="L98" i="1"/>
  <c r="D98" i="1"/>
  <c r="L97" i="1"/>
  <c r="D97" i="1"/>
  <c r="L96" i="1"/>
  <c r="D96" i="1"/>
  <c r="L95" i="1"/>
  <c r="D95" i="1"/>
  <c r="L94" i="1"/>
  <c r="D94" i="1"/>
  <c r="L93" i="1"/>
  <c r="D93" i="1"/>
  <c r="M92" i="1"/>
  <c r="L92" i="1"/>
  <c r="D92" i="1"/>
  <c r="M91" i="1"/>
  <c r="L91" i="1"/>
  <c r="D91" i="1"/>
  <c r="L90" i="1"/>
  <c r="D90" i="1"/>
  <c r="L89" i="1"/>
  <c r="D89" i="1"/>
  <c r="L88" i="1"/>
  <c r="D88" i="1"/>
  <c r="L87" i="1"/>
  <c r="D87" i="1"/>
  <c r="D86" i="1"/>
  <c r="L85" i="1"/>
  <c r="D85" i="1"/>
  <c r="M84" i="1"/>
  <c r="L84" i="1"/>
  <c r="D84" i="1"/>
  <c r="L83" i="1"/>
  <c r="D83" i="1"/>
  <c r="L82" i="1"/>
  <c r="D82" i="1"/>
  <c r="L81" i="1"/>
  <c r="D81" i="1"/>
  <c r="L80" i="1"/>
  <c r="D80" i="1"/>
  <c r="L79" i="1"/>
  <c r="D79" i="1"/>
  <c r="L78" i="1"/>
  <c r="D78" i="1"/>
  <c r="L77" i="1"/>
  <c r="D77" i="1"/>
  <c r="L76" i="1"/>
  <c r="D76" i="1"/>
  <c r="L75" i="1"/>
  <c r="D75" i="1"/>
  <c r="L74" i="1"/>
  <c r="D74" i="1"/>
  <c r="AE209" i="2"/>
  <c r="AF209" i="2" s="1"/>
  <c r="AH209" i="2" a="1"/>
  <c r="AH209" i="2" s="1"/>
  <c r="AI209" i="2" s="1"/>
  <c r="AE210" i="2"/>
  <c r="AF210" i="2" s="1"/>
  <c r="AE211" i="2"/>
  <c r="AF211" i="2" s="1"/>
  <c r="AE212" i="2"/>
  <c r="AF212" i="2" s="1"/>
  <c r="AE213" i="2"/>
  <c r="AF213" i="2" s="1"/>
  <c r="AE214" i="2"/>
  <c r="AF214" i="2" s="1"/>
  <c r="L27" i="1"/>
  <c r="D27" i="1"/>
  <c r="L73" i="1"/>
  <c r="D73" i="1"/>
  <c r="L56" i="1"/>
  <c r="D56" i="1"/>
  <c r="L55" i="1"/>
  <c r="D55" i="1"/>
  <c r="L54" i="1"/>
  <c r="D54" i="1"/>
  <c r="M41" i="1"/>
  <c r="L41" i="1"/>
  <c r="D41" i="1"/>
  <c r="M26" i="1"/>
  <c r="L26" i="1"/>
  <c r="D26" i="1"/>
  <c r="L53" i="1"/>
  <c r="D53" i="1"/>
  <c r="L40" i="1"/>
  <c r="D40" i="1"/>
  <c r="L39" i="1"/>
  <c r="D39" i="1"/>
  <c r="M72" i="1"/>
  <c r="L72" i="1"/>
  <c r="D72" i="1"/>
  <c r="L52" i="1"/>
  <c r="D52" i="1"/>
  <c r="L38" i="1"/>
  <c r="D38" i="1"/>
  <c r="M25" i="1"/>
  <c r="L25" i="1"/>
  <c r="D25" i="1"/>
  <c r="L24" i="1"/>
  <c r="D24" i="1"/>
  <c r="D23" i="1"/>
  <c r="M51" i="1"/>
  <c r="L51" i="1"/>
  <c r="D51" i="1"/>
  <c r="D37" i="1"/>
  <c r="L36" i="1"/>
  <c r="D36" i="1"/>
  <c r="M35" i="1"/>
  <c r="L35" i="1"/>
  <c r="D35" i="1"/>
  <c r="L22" i="1"/>
  <c r="D22" i="1"/>
  <c r="D71" i="1"/>
  <c r="M70" i="1"/>
  <c r="L70" i="1"/>
  <c r="D70" i="1"/>
  <c r="M50" i="1"/>
  <c r="L50" i="1"/>
  <c r="D50" i="1"/>
  <c r="M34" i="1"/>
  <c r="L34" i="1"/>
  <c r="D34" i="1"/>
  <c r="L33" i="1"/>
  <c r="D33" i="1"/>
  <c r="L21" i="1"/>
  <c r="D21" i="1"/>
  <c r="L20" i="1"/>
  <c r="D20" i="1"/>
  <c r="L19" i="1"/>
  <c r="D19" i="1"/>
  <c r="M18" i="1"/>
  <c r="L18" i="1"/>
  <c r="D18" i="1"/>
  <c r="L17" i="1"/>
  <c r="D17" i="1"/>
  <c r="L49" i="1"/>
  <c r="D49" i="1"/>
  <c r="L32" i="1"/>
  <c r="D32" i="1"/>
  <c r="M16" i="1"/>
  <c r="L16" i="1"/>
  <c r="D16" i="1"/>
  <c r="L69" i="1"/>
  <c r="D69" i="1"/>
  <c r="M68" i="1"/>
  <c r="L68" i="1"/>
  <c r="D68" i="1"/>
  <c r="L48" i="1"/>
  <c r="D48" i="1"/>
  <c r="L15" i="1"/>
  <c r="D15" i="1"/>
  <c r="L14" i="1"/>
  <c r="D14" i="1"/>
  <c r="L13" i="1"/>
  <c r="D13" i="1"/>
  <c r="L12" i="1"/>
  <c r="D12" i="1"/>
  <c r="L67" i="1"/>
  <c r="D67" i="1"/>
  <c r="L47" i="1"/>
  <c r="D47" i="1"/>
  <c r="L46" i="1"/>
  <c r="D46" i="1"/>
  <c r="L31" i="1"/>
  <c r="D31" i="1"/>
  <c r="L30" i="1"/>
  <c r="D30" i="1"/>
  <c r="D11" i="1"/>
  <c r="L10" i="1"/>
  <c r="D10" i="1"/>
  <c r="D9" i="1"/>
  <c r="L66" i="1"/>
  <c r="D66" i="1"/>
  <c r="L45" i="1"/>
  <c r="D45" i="1"/>
  <c r="L8" i="1"/>
  <c r="D8" i="1"/>
  <c r="L65" i="1"/>
  <c r="D65" i="1"/>
  <c r="L64" i="1"/>
  <c r="D64" i="1"/>
  <c r="L63" i="1"/>
  <c r="D63" i="1"/>
  <c r="L62" i="1"/>
  <c r="D62" i="1"/>
  <c r="M7" i="1"/>
  <c r="L7" i="1"/>
  <c r="D7" i="1"/>
  <c r="L61" i="1"/>
  <c r="D61" i="1"/>
  <c r="L6" i="1"/>
  <c r="D6" i="1"/>
  <c r="M5" i="1"/>
  <c r="L5" i="1"/>
  <c r="D5" i="1"/>
  <c r="L4" i="1"/>
  <c r="D4" i="1"/>
  <c r="L3" i="1"/>
  <c r="D3" i="1"/>
  <c r="L60" i="1"/>
  <c r="D60" i="1"/>
  <c r="L59" i="1"/>
  <c r="D59" i="1"/>
  <c r="L2" i="1"/>
  <c r="D2" i="1"/>
  <c r="L29" i="1"/>
  <c r="D29" i="1"/>
  <c r="L58" i="1"/>
  <c r="D58" i="1"/>
  <c r="L28" i="1"/>
  <c r="D28" i="1"/>
  <c r="L57" i="1"/>
  <c r="D57" i="1"/>
  <c r="L44" i="1"/>
  <c r="D44" i="1"/>
  <c r="L43" i="1"/>
  <c r="D43" i="1"/>
  <c r="L42" i="1"/>
  <c r="D42" i="1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Z4" i="2" s="1"/>
  <c r="AB4" i="2" s="1"/>
  <c r="X16" i="2"/>
  <c r="X17" i="2"/>
  <c r="X18" i="2"/>
  <c r="X19" i="2"/>
  <c r="X20" i="2"/>
  <c r="X21" i="2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B8" i="2" a="1"/>
  <c r="B8" i="2" s="1"/>
  <c r="B7" i="2"/>
  <c r="B6" i="2"/>
  <c r="B5" i="2" a="1"/>
  <c r="B5" i="2" s="1"/>
  <c r="B4" i="2" a="1"/>
  <c r="B4" i="2" s="1"/>
  <c r="B3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I32" i="2" l="1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F3" i="2"/>
  <c r="G19" i="2"/>
  <c r="G7" i="2"/>
  <c r="H23" i="2"/>
  <c r="H11" i="2"/>
  <c r="I15" i="2"/>
  <c r="I3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G3" i="2"/>
  <c r="H19" i="2"/>
  <c r="H7" i="2"/>
  <c r="I23" i="2"/>
  <c r="I11" i="2"/>
  <c r="J15" i="2"/>
  <c r="J3" i="2"/>
  <c r="L15" i="2"/>
  <c r="AA6" i="2"/>
  <c r="F12" i="2"/>
  <c r="G4" i="2"/>
  <c r="H20" i="2"/>
  <c r="K20" i="2" s="1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K8" i="2" s="1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K30" i="2" l="1"/>
  <c r="K32" i="2"/>
  <c r="K31" i="2"/>
  <c r="AG204" i="2"/>
  <c r="K24" i="2"/>
  <c r="AC204" i="2"/>
  <c r="AD204" i="2"/>
  <c r="AF20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<sst xmlns="http://schemas.openxmlformats.org/spreadsheetml/2006/main" count="1299" uniqueCount="253">
  <si>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</si>
  <si>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</si>
  <si>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</si>
  <si>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</si>
  <si>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</si>
  <si>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</si>
  <si>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</si>
  <si>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</si>
  <si>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</si>
  <si>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</si>
  <si>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</si>
  <si>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</si>
  <si>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</si>
  <si>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</si>
  <si>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</si>
  <si>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</si>
  <si>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</si>
  <si>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</si>
  <si>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</si>
  <si>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</si>
  <si>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Flieege-Thunderstrike</t>
  </si>
  <si>
    <t>item:30244::::::::70</t>
  </si>
  <si>
    <t>BiS</t>
  </si>
  <si>
    <t>WARLOCK</t>
  </si>
  <si>
    <t>Lady Vashj</t>
  </si>
  <si>
    <t>normal</t>
  </si>
  <si>
    <t>Armor Token</t>
  </si>
  <si>
    <t>item:30084::::::::70</t>
  </si>
  <si>
    <t>PALADIN</t>
  </si>
  <si>
    <t>Morogrim Gezeitenwandler</t>
  </si>
  <si>
    <t>Plate</t>
  </si>
  <si>
    <t>Shoulder</t>
  </si>
  <si>
    <t>braucht ja sonst nieman</t>
  </si>
  <si>
    <t>item:30029::::::::70</t>
  </si>
  <si>
    <t>Upgrade</t>
  </si>
  <si>
    <t>Tempest Keep-25 Player</t>
  </si>
  <si>
    <t>Kael'thas Sunstrider</t>
  </si>
  <si>
    <t>Leather</t>
  </si>
  <si>
    <t>Hands</t>
  </si>
  <si>
    <t>Zzou-Thunderstrike</t>
  </si>
  <si>
    <t>Tommypenn-Thunderstrike</t>
  </si>
  <si>
    <t>SHAMAN</t>
  </si>
  <si>
    <t>Junk</t>
  </si>
  <si>
    <t>item:30023::::::::70</t>
  </si>
  <si>
    <t>Offspecc</t>
  </si>
  <si>
    <t>Tiefenlord Karathress</t>
  </si>
  <si>
    <t>Totems</t>
  </si>
  <si>
    <t>Relic</t>
  </si>
  <si>
    <t>item:30245::::::::70</t>
  </si>
  <si>
    <t>Leotheras der Blinde</t>
  </si>
  <si>
    <t>Lilyasx-Thunderstrike</t>
  </si>
  <si>
    <t>DRUID</t>
  </si>
  <si>
    <t>Two-Hand</t>
  </si>
  <si>
    <t>item:29984::::::::70</t>
  </si>
  <si>
    <t>2nd BiS</t>
  </si>
  <si>
    <t>Waist</t>
  </si>
  <si>
    <t>Spewspew-Thunderstrike</t>
  </si>
  <si>
    <t>MAGE</t>
  </si>
  <si>
    <t>One-Handed Swords</t>
  </si>
  <si>
    <t>Ranged</t>
  </si>
  <si>
    <t>Cloth</t>
  </si>
  <si>
    <t>item:30720::::::::70</t>
  </si>
  <si>
    <t>Miscellaneous</t>
  </si>
  <si>
    <t>Trinket</t>
  </si>
  <si>
    <t>item:30241::::::::70</t>
  </si>
  <si>
    <t>Bigfutti-Thunderstrike</t>
  </si>
  <si>
    <t>item:30246::::::::70</t>
  </si>
  <si>
    <t>PRIEST</t>
  </si>
  <si>
    <t>item:29992::::::::70</t>
  </si>
  <si>
    <t>Back</t>
  </si>
  <si>
    <t>Gerdarogers-Thunderstrike</t>
  </si>
  <si>
    <t>Tuarendrood-Thunderstrike</t>
  </si>
  <si>
    <t>item:32516::::::::70</t>
  </si>
  <si>
    <t>Wrist</t>
  </si>
  <si>
    <t>Grathmok-Thunderstrike</t>
  </si>
  <si>
    <t>Mardinez-Thunderstrike</t>
  </si>
  <si>
    <t>Neck</t>
  </si>
  <si>
    <t>item:30665::::::::70</t>
  </si>
  <si>
    <t>item:30249::::::::70</t>
  </si>
  <si>
    <t>Mokrash-Thunderstrike</t>
  </si>
  <si>
    <t>item:30055::::::::70</t>
  </si>
  <si>
    <t>WARRIOR</t>
  </si>
  <si>
    <t>item:30054::::::::70</t>
  </si>
  <si>
    <t>Mail</t>
  </si>
  <si>
    <t>Chest</t>
  </si>
  <si>
    <t>item:30065::::::::70</t>
  </si>
  <si>
    <t>item:30061::::::::70</t>
  </si>
  <si>
    <t>Finger</t>
  </si>
  <si>
    <t>item:30090::::::::70</t>
  </si>
  <si>
    <t>Two-Handed Maces</t>
  </si>
  <si>
    <t>item:29947::::::::70</t>
  </si>
  <si>
    <t>Keindaemon-Thunderstrike</t>
  </si>
  <si>
    <t>item:30664::::::::70</t>
  </si>
  <si>
    <t>item:30079::::::::70</t>
  </si>
  <si>
    <t>WAIT</t>
  </si>
  <si>
    <t>Ribsz-Thunderstrike</t>
  </si>
  <si>
    <t>Klaaw-Thunderstrike</t>
  </si>
  <si>
    <t>HUNTER</t>
  </si>
  <si>
    <t>item:30238::::::::70</t>
  </si>
  <si>
    <t>item:30052::::::::70</t>
  </si>
  <si>
    <t>bis #1 sv</t>
  </si>
  <si>
    <t>item:30250::::::::70</t>
  </si>
  <si>
    <t>item:30097::::::::70</t>
  </si>
  <si>
    <t>item:30239::::::::70</t>
  </si>
  <si>
    <t>Zabipala-Thunderstrike</t>
  </si>
  <si>
    <t>item:30242::::::::70</t>
  </si>
  <si>
    <t>item:33054::::::::70</t>
  </si>
  <si>
    <t>Head</t>
  </si>
  <si>
    <t>item:30106::::::::70</t>
  </si>
  <si>
    <t>item:30240::::::::70</t>
  </si>
  <si>
    <t>Thrown</t>
  </si>
  <si>
    <t>item:30081::::::::70</t>
  </si>
  <si>
    <t>Feet</t>
  </si>
  <si>
    <t>item:30082::::::::70</t>
  </si>
  <si>
    <t>One-Hand</t>
  </si>
  <si>
    <t>Zerleger-Thunderstrike</t>
  </si>
  <si>
    <t>item:30183::::::::70</t>
  </si>
  <si>
    <t>Materials</t>
  </si>
  <si>
    <t>item:30025::::::::70</t>
  </si>
  <si>
    <t>item:30283::::::::70</t>
  </si>
  <si>
    <t>Passen</t>
  </si>
  <si>
    <t>PASS</t>
  </si>
  <si>
    <t>Tailoring</t>
  </si>
  <si>
    <t>item:30099::::::::70</t>
  </si>
  <si>
    <t>item:30096::::::::70</t>
  </si>
  <si>
    <t>item:30237::::::::70</t>
  </si>
  <si>
    <t>Hutro-Thunderstrike</t>
  </si>
  <si>
    <t>ROGUE</t>
  </si>
  <si>
    <t>Tastycake-Thunderstrike</t>
  </si>
  <si>
    <t>item:30008::::::::70</t>
  </si>
  <si>
    <t>Supmyaeth-Thunderstrike</t>
  </si>
  <si>
    <t>item:30060::::::::70</t>
  </si>
  <si>
    <t>Mommyfrieren-Thunderstrike</t>
  </si>
  <si>
    <t>item:30109::::::::70</t>
  </si>
  <si>
    <t>item:30247::::::::70</t>
  </si>
  <si>
    <t>Heislbärt-Thunderstrike</t>
  </si>
  <si>
    <t>Oßa-Thunderstrike</t>
  </si>
  <si>
    <t>RaidDate</t>
  </si>
  <si>
    <t>Loot Council Dashboard</t>
  </si>
  <si>
    <t>Total items awarded</t>
  </si>
  <si>
    <t>Unique players</t>
  </si>
  <si>
    <t>Raid days</t>
  </si>
  <si>
    <t>First raid</t>
  </si>
  <si>
    <t>Last raid</t>
  </si>
  <si>
    <t>Bosses killed (loot from)</t>
  </si>
  <si>
    <t>Items &amp; Response by Player</t>
  </si>
  <si>
    <t>Player</t>
  </si>
  <si>
    <t>Total</t>
  </si>
  <si>
    <t>Other</t>
  </si>
  <si>
    <t>Class</t>
  </si>
  <si>
    <t>Items by Boss</t>
  </si>
  <si>
    <t>Boss</t>
  </si>
  <si>
    <t>Items</t>
  </si>
  <si>
    <t>Items by Response</t>
  </si>
  <si>
    <t>Response</t>
  </si>
  <si>
    <t>% of total</t>
  </si>
  <si>
    <t>Pending</t>
  </si>
  <si>
    <t>Items by Class</t>
  </si>
  <si>
    <t>Items per Raid</t>
  </si>
  <si>
    <t>Raid Date</t>
  </si>
  <si>
    <t>Instance</t>
  </si>
  <si>
    <t>Total (all players)</t>
  </si>
  <si>
    <t>Echsenkessel: Höhle des Schlangenschreins-25 Spieler</t>
  </si>
  <si>
    <t>super low prio</t>
  </si>
  <si>
    <t>2nd bis nach crafted belt - bis pvp außerdem</t>
  </si>
  <si>
    <t>Fetzine-Thunderstrike</t>
  </si>
  <si>
    <t>item:29949::::::::70</t>
  </si>
  <si>
    <t>Guns</t>
  </si>
  <si>
    <t>item:29951::::::::70</t>
  </si>
  <si>
    <t>Alàén-Thunderstrike</t>
  </si>
  <si>
    <t>Aethrîa-Thunderstrike</t>
  </si>
  <si>
    <t>item:29972::::::::70</t>
  </si>
  <si>
    <t>Legs</t>
  </si>
  <si>
    <t>item:29983::::::::70</t>
  </si>
  <si>
    <t>item:29920::::::::70</t>
  </si>
  <si>
    <t>item:30026::::::::70</t>
  </si>
  <si>
    <t>item:29918::::::::70</t>
  </si>
  <si>
    <t>Kandidat wählt die Antwort aus, bitte warten</t>
  </si>
  <si>
    <t>item:32267::::::::70</t>
  </si>
  <si>
    <t>item:30028::::::::70</t>
  </si>
  <si>
    <t>item:30447::::::::70</t>
  </si>
  <si>
    <t>Pass</t>
  </si>
  <si>
    <t>item:32405::::::::70</t>
  </si>
  <si>
    <t>Xænd-Thunderstrike</t>
  </si>
  <si>
    <t>item:29924::::::::70</t>
  </si>
  <si>
    <t>One-Handed Axes</t>
  </si>
  <si>
    <t>item:29950::::::::70</t>
  </si>
  <si>
    <t>item:30322::::::::70</t>
  </si>
  <si>
    <t>Blacksmithing</t>
  </si>
  <si>
    <t>item:29962::::::::70</t>
  </si>
  <si>
    <t>Daggers</t>
  </si>
  <si>
    <t>item:30449::::::::70</t>
  </si>
  <si>
    <t>Reezø-Thunderstrike</t>
  </si>
  <si>
    <t>Actitibe-Thunderstrike</t>
  </si>
  <si>
    <t>item:30075::::::::70</t>
  </si>
  <si>
    <t>item:28822::::::::70</t>
  </si>
  <si>
    <t>Gruuls Unterschlupf-25 Spieler</t>
  </si>
  <si>
    <t>Gruul der Drachenschlächter</t>
  </si>
  <si>
    <t>item:29762::::::::70</t>
  </si>
  <si>
    <t>item:29765::::::::70</t>
  </si>
  <si>
    <t>Magtheridons Kammer-25 Spieler</t>
  </si>
  <si>
    <t>Magtheridon</t>
  </si>
  <si>
    <t>Das Grauen aus der Tiefe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</si>
  <si>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</si>
  <si>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</si>
  <si>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</si>
  <si>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</si>
  <si>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</si>
  <si>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</si>
  <si>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</si>
  <si>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</si>
  <si>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</si>
  <si>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</si>
  <si>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</si>
  <si>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</si>
  <si>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Hydross der Unstete</t>
  </si>
  <si>
    <t>item:30027::::::::70</t>
  </si>
  <si>
    <t>Entzaubern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</si>
  <si>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</si>
  <si>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</si>
  <si>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</si>
  <si>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</si>
  <si>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</si>
  <si>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</si>
  <si>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</si>
  <si>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Offline oder RCLootCouncil ist nicht installiert</t>
  </si>
  <si>
    <t>NOTHING</t>
  </si>
  <si>
    <t>item:30058::::::::70</t>
  </si>
  <si>
    <t>item:28789::::::::70</t>
  </si>
  <si>
    <t>item:29993::::::::70</t>
  </si>
  <si>
    <t>Festung der Stürme-25 Spieler</t>
  </si>
  <si>
    <t>Unbekannt</t>
  </si>
  <si>
    <t>Two-Handed Swords</t>
  </si>
  <si>
    <t>Mahway-Thunderstrike</t>
  </si>
  <si>
    <t>Leerhäscher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</si>
  <si>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</si>
  <si>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</si>
  <si>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</si>
  <si>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</si>
  <si>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</si>
  <si>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</si>
  <si>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</si>
  <si>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Response Correct?</t>
  </si>
  <si>
    <t>Yes</t>
  </si>
  <si>
    <t>yes</t>
  </si>
  <si>
    <t>No</t>
  </si>
  <si>
    <t>No, T4 is BiS</t>
  </si>
  <si>
    <t>Player Loot Lookup</t>
  </si>
  <si>
    <t>Select Player:</t>
  </si>
  <si>
    <t>Players (helper)</t>
  </si>
  <si>
    <t>Item</t>
  </si>
  <si>
    <t>Date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</si>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</sst>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6" fillId="0" borderId="1" xfId="0" applyFont="1" applyBorder="1"/>
    <xf numFmtId="0" fontId="7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0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Fetzine-Thunderstrike</c:v>
                </c:pt>
                <c:pt idx="5">
                  <c:v>Flieege-Thunderstrike</c:v>
                </c:pt>
                <c:pt idx="6">
                  <c:v>Gerdarogers-Thunderstrike</c:v>
                </c:pt>
                <c:pt idx="7">
                  <c:v>Grathmok-Thunderstrike</c:v>
                </c:pt>
                <c:pt idx="8">
                  <c:v>Heislbärt-Thunderstrike</c:v>
                </c:pt>
                <c:pt idx="9">
                  <c:v>Hutro-Thunderstrike</c:v>
                </c:pt>
                <c:pt idx="10">
                  <c:v>Keindaemon-Thunderstrike</c:v>
                </c:pt>
                <c:pt idx="11">
                  <c:v>Klaaw-Thunderstrike</c:v>
                </c:pt>
                <c:pt idx="12">
                  <c:v>Lilyasx-Thunderstrike</c:v>
                </c:pt>
                <c:pt idx="13">
                  <c:v>Mahway-Thunderstrike</c:v>
                </c:pt>
                <c:pt idx="14">
                  <c:v>Mardinez-Thunderstrike</c:v>
                </c:pt>
                <c:pt idx="15">
                  <c:v>Mokrash-Thunderstrike</c:v>
                </c:pt>
                <c:pt idx="16">
                  <c:v>Mommyfrieren-Thunderstrike</c:v>
                </c:pt>
                <c:pt idx="17">
                  <c:v>Oßa-Thunderstrike</c:v>
                </c:pt>
                <c:pt idx="18">
                  <c:v>Reezø-Thunderstrike</c:v>
                </c:pt>
                <c:pt idx="19">
                  <c:v>Ribsz-Thunderstrike</c:v>
                </c:pt>
                <c:pt idx="20">
                  <c:v>Shreklich-Thunderstrike</c:v>
                </c:pt>
                <c:pt idx="21">
                  <c:v>Spewspew-Thunderstrike</c:v>
                </c:pt>
                <c:pt idx="22">
                  <c:v>Supmyaeth-Thunderstrike</c:v>
                </c:pt>
                <c:pt idx="23">
                  <c:v>Tastycake-Thunderstrike</c:v>
                </c:pt>
                <c:pt idx="24">
                  <c:v>Tommypenn-Thunderstrike</c:v>
                </c:pt>
                <c:pt idx="25">
                  <c:v>Tuarendrood-Thunderstrike</c:v>
                </c:pt>
                <c:pt idx="26">
                  <c:v>Xænd-Thunderstrike</c:v>
                </c:pt>
                <c:pt idx="27">
                  <c:v>Zabipala-Thunderstrike</c:v>
                </c:pt>
                <c:pt idx="28">
                  <c:v>Zerleger-Thunderstrike</c:v>
                </c:pt>
                <c:pt idx="29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0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3</c:v>
                </c:pt>
                <c:pt idx="4">
                  <c:v>6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8</c:v>
                </c:pt>
                <c:pt idx="9">
                  <c:v>1</c:v>
                </c:pt>
                <c:pt idx="10">
                  <c:v>8</c:v>
                </c:pt>
                <c:pt idx="11">
                  <c:v>5</c:v>
                </c:pt>
                <c:pt idx="12">
                  <c:v>2</c:v>
                </c:pt>
                <c:pt idx="13">
                  <c:v>1</c:v>
                </c:pt>
                <c:pt idx="14">
                  <c:v>4</c:v>
                </c:pt>
                <c:pt idx="15">
                  <c:v>5</c:v>
                </c:pt>
                <c:pt idx="16">
                  <c:v>4</c:v>
                </c:pt>
                <c:pt idx="17">
                  <c:v>4</c:v>
                </c:pt>
                <c:pt idx="18">
                  <c:v>8</c:v>
                </c:pt>
                <c:pt idx="19">
                  <c:v>1</c:v>
                </c:pt>
                <c:pt idx="20">
                  <c:v>2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3</c:v>
                </c:pt>
                <c:pt idx="25">
                  <c:v>3</c:v>
                </c:pt>
                <c:pt idx="26">
                  <c:v>7</c:v>
                </c:pt>
                <c:pt idx="27">
                  <c:v>9</c:v>
                </c:pt>
                <c:pt idx="28">
                  <c:v>11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68</c:v>
                </c:pt>
                <c:pt idx="1">
                  <c:v>15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2"/>
                <c:pt idx="0">
                  <c:v>Al'ar</c:v>
                </c:pt>
                <c:pt idx="1">
                  <c:v>Das Grauen aus der Tiefe</c:v>
                </c:pt>
                <c:pt idx="2">
                  <c:v>Gruul der Drachenschlächter</c:v>
                </c:pt>
                <c:pt idx="3">
                  <c:v>Hydross der Unstete</c:v>
                </c:pt>
                <c:pt idx="4">
                  <c:v>Kael'thas Sunstrider</c:v>
                </c:pt>
                <c:pt idx="5">
                  <c:v>Lady Vashj</c:v>
                </c:pt>
                <c:pt idx="6">
                  <c:v>Leerhäscher</c:v>
                </c:pt>
                <c:pt idx="7">
                  <c:v>Leotheras der Blinde</c:v>
                </c:pt>
                <c:pt idx="8">
                  <c:v>Magtheridon</c:v>
                </c:pt>
                <c:pt idx="9">
                  <c:v>Morogrim Gezeitenwandler</c:v>
                </c:pt>
                <c:pt idx="10">
                  <c:v>Tiefenlord Karathress</c:v>
                </c:pt>
                <c:pt idx="11">
                  <c:v>Unbekannt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9</c:v>
                </c:pt>
                <c:pt idx="3">
                  <c:v>3</c:v>
                </c:pt>
                <c:pt idx="4">
                  <c:v>31</c:v>
                </c:pt>
                <c:pt idx="5">
                  <c:v>10</c:v>
                </c:pt>
                <c:pt idx="6">
                  <c:v>4</c:v>
                </c:pt>
                <c:pt idx="7">
                  <c:v>19</c:v>
                </c:pt>
                <c:pt idx="8">
                  <c:v>8</c:v>
                </c:pt>
                <c:pt idx="9">
                  <c:v>18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21</c:v>
                </c:pt>
                <c:pt idx="1">
                  <c:v>12</c:v>
                </c:pt>
                <c:pt idx="2">
                  <c:v>14</c:v>
                </c:pt>
                <c:pt idx="3">
                  <c:v>22</c:v>
                </c:pt>
                <c:pt idx="4">
                  <c:v>7</c:v>
                </c:pt>
                <c:pt idx="5">
                  <c:v>1</c:v>
                </c:pt>
                <c:pt idx="6">
                  <c:v>16</c:v>
                </c:pt>
                <c:pt idx="7">
                  <c:v>8</c:v>
                </c:pt>
                <c:pt idx="8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V200"/>
  <sheetViews>
    <sheetView workbookViewId="0">
      <selection activeCell="G83" sqref="G83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customWidth="1"/>
    <col min="4" max="4" width="38" bestFit="1" customWidth="1"/>
    <col min="5" max="5" width="6.625" customWidth="1"/>
    <col min="6" max="6" width="16.5" customWidth="1"/>
    <col min="7" max="7" width="38" bestFit="1" customWidth="1"/>
    <col min="8" max="8" width="5.5" customWidth="1"/>
    <col min="9" max="9" width="9.5" customWidth="1"/>
    <col min="10" max="10" width="47.5" customWidth="1"/>
    <col min="11" max="11" width="23.375" customWidth="1"/>
    <col min="12" max="12" width="37.125" customWidth="1"/>
    <col min="13" max="13" width="35.625" customWidth="1"/>
    <col min="14" max="14" width="10.375" customWidth="1"/>
    <col min="15" max="15" width="13.5" customWidth="1"/>
    <col min="16" max="16" width="7.5" customWidth="1"/>
    <col min="17" max="17" width="17.875" customWidth="1"/>
    <col min="18" max="18" width="9.875" customWidth="1"/>
    <col min="19" max="19" width="49.125" customWidth="1"/>
    <col min="20" max="20" width="24.875" customWidth="1"/>
    <col min="21" max="21" width="11" customWidth="1"/>
    <col min="22" max="22" width="16.625" bestFit="1" customWidth="1"/>
  </cols>
  <sheetData>
    <row r="1" spans="1:22" x14ac:dyDescent="0.25">
      <c r="A1" s="17" t="s">
        <v>0</v>
      </c>
      <c r="B1" s="17" t="s">
        <v>1</v>
      </c>
      <c r="C1" t="s">
        <v>2</v>
      </c>
      <c r="D1" s="17" t="s">
        <v>3</v>
      </c>
      <c r="E1" t="s">
        <v>4</v>
      </c>
      <c r="F1" t="s">
        <v>5</v>
      </c>
      <c r="G1" s="17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137</v>
      </c>
      <c r="V1" s="17" t="s">
        <v>242</v>
      </c>
    </row>
    <row r="2" spans="1:22" x14ac:dyDescent="0.25">
      <c r="A2" t="s">
        <v>96</v>
      </c>
      <c r="B2" s="1">
        <v>46160</v>
      </c>
      <c r="C2" s="2">
        <v>0.91111111111111109</v>
      </c>
      <c r="D2" t="str">
        <f>HYPERLINK("https://tbc.wowhead.com/item=30241","[Handschuhe des bezwungenen Helden]")</f>
        <v>[Handschuhe des bezwungenen Helden]</v>
      </c>
      <c r="E2">
        <v>30241</v>
      </c>
      <c r="F2" t="s">
        <v>64</v>
      </c>
      <c r="G2" t="s">
        <v>22</v>
      </c>
      <c r="H2">
        <v>2</v>
      </c>
      <c r="I2" t="s">
        <v>97</v>
      </c>
      <c r="J2" t="s">
        <v>162</v>
      </c>
      <c r="K2" t="s">
        <v>49</v>
      </c>
      <c r="L2" t="str">
        <f>HYPERLINK("https://tbc.wowhead.com/item=27474","[Handschützer des Wildtierfürsten]")</f>
        <v>[Handschützer des Wildtierfürsten]</v>
      </c>
      <c r="N2">
        <v>1</v>
      </c>
      <c r="O2" t="b">
        <v>0</v>
      </c>
      <c r="P2" t="s">
        <v>25</v>
      </c>
      <c r="Q2" t="s">
        <v>26</v>
      </c>
      <c r="T2" t="s">
        <v>135</v>
      </c>
      <c r="U2" s="4">
        <f t="shared" ref="U2:U33" si="0">IF(B2="","",B2)</f>
        <v>46160</v>
      </c>
    </row>
    <row r="3" spans="1:22" x14ac:dyDescent="0.25">
      <c r="A3" t="s">
        <v>169</v>
      </c>
      <c r="B3" s="1">
        <v>46160</v>
      </c>
      <c r="C3" s="2">
        <v>0.86111111111111116</v>
      </c>
      <c r="D3" t="str">
        <f>HYPERLINK("https://tbc.wowhead.com/item=30054","[Brustschutz des Waldläufergenerals]")</f>
        <v>[Brustschutz des Waldläufergenerals]</v>
      </c>
      <c r="E3">
        <v>30054</v>
      </c>
      <c r="F3" t="s">
        <v>82</v>
      </c>
      <c r="G3" t="s">
        <v>34</v>
      </c>
      <c r="H3">
        <v>0</v>
      </c>
      <c r="I3" t="s">
        <v>28</v>
      </c>
      <c r="J3" t="s">
        <v>162</v>
      </c>
      <c r="K3" t="s">
        <v>45</v>
      </c>
      <c r="L3" t="str">
        <f>HYPERLINK("https://tbc.wowhead.com/item=28601","[Brustschutz des Verschwörers]")</f>
        <v>[Brustschutz des Verschwörers]</v>
      </c>
      <c r="N3">
        <v>3</v>
      </c>
      <c r="O3" t="b">
        <v>0</v>
      </c>
      <c r="P3" t="s">
        <v>25</v>
      </c>
      <c r="Q3" t="s">
        <v>83</v>
      </c>
      <c r="R3" t="s">
        <v>84</v>
      </c>
      <c r="T3" t="s">
        <v>135</v>
      </c>
      <c r="U3" s="4">
        <f t="shared" si="0"/>
        <v>46160</v>
      </c>
    </row>
    <row r="4" spans="1:22" x14ac:dyDescent="0.25">
      <c r="A4" t="s">
        <v>169</v>
      </c>
      <c r="B4" s="1">
        <v>46160</v>
      </c>
      <c r="C4" s="2">
        <v>0.87638888888888888</v>
      </c>
      <c r="D4" t="str">
        <f>HYPERLINK("https://tbc.wowhead.com/item=30065","[Leuchtende Brustplatte der Wahrheit]")</f>
        <v>[Leuchtende Brustplatte der Wahrheit]</v>
      </c>
      <c r="E4">
        <v>30065</v>
      </c>
      <c r="F4" t="s">
        <v>85</v>
      </c>
      <c r="G4" t="s">
        <v>44</v>
      </c>
      <c r="H4">
        <v>4</v>
      </c>
      <c r="I4" t="s">
        <v>28</v>
      </c>
      <c r="J4" t="s">
        <v>162</v>
      </c>
      <c r="K4" t="s">
        <v>45</v>
      </c>
      <c r="L4" t="str">
        <f>HYPERLINK("https://tbc.wowhead.com/item=28601","[Brustschutz des Verschwörers]")</f>
        <v>[Brustschutz des Verschwörers]</v>
      </c>
      <c r="N4">
        <v>4</v>
      </c>
      <c r="O4" t="b">
        <v>0</v>
      </c>
      <c r="P4" t="s">
        <v>25</v>
      </c>
      <c r="Q4" t="s">
        <v>30</v>
      </c>
      <c r="R4" t="s">
        <v>84</v>
      </c>
      <c r="T4" t="s">
        <v>135</v>
      </c>
      <c r="U4" s="4">
        <f t="shared" si="0"/>
        <v>46160</v>
      </c>
    </row>
    <row r="5" spans="1:22" x14ac:dyDescent="0.25">
      <c r="A5" t="s">
        <v>169</v>
      </c>
      <c r="B5" s="1">
        <v>46160</v>
      </c>
      <c r="C5" s="2">
        <v>0.87708333333333333</v>
      </c>
      <c r="D5" t="str">
        <f>HYPERLINK("https://tbc.wowhead.com/item=30061","[Ahnenring der Eroberung]")</f>
        <v>[Ahnenring der Eroberung]</v>
      </c>
      <c r="E5">
        <v>30061</v>
      </c>
      <c r="F5" t="s">
        <v>86</v>
      </c>
      <c r="G5" t="s">
        <v>54</v>
      </c>
      <c r="H5">
        <v>1</v>
      </c>
      <c r="I5" t="s">
        <v>28</v>
      </c>
      <c r="J5" t="s">
        <v>162</v>
      </c>
      <c r="K5" t="s">
        <v>45</v>
      </c>
      <c r="L5" t="str">
        <f>HYPERLINK("https://tbc.wowhead.com/item=30834","[Siegel des Gestaltwandlers]")</f>
        <v>[Siegel des Gestaltwandlers]</v>
      </c>
      <c r="M5" t="str">
        <f>HYPERLINK("https://tbc.wowhead.com/item=29177","[A'dals Gebot]")</f>
        <v>[A'dals Gebot]</v>
      </c>
      <c r="N5">
        <v>2</v>
      </c>
      <c r="O5" t="b">
        <v>0</v>
      </c>
      <c r="P5" t="s">
        <v>25</v>
      </c>
      <c r="Q5" t="s">
        <v>62</v>
      </c>
      <c r="R5" t="s">
        <v>87</v>
      </c>
      <c r="T5" t="s">
        <v>135</v>
      </c>
      <c r="U5" s="4">
        <f t="shared" si="0"/>
        <v>46160</v>
      </c>
    </row>
    <row r="6" spans="1:22" x14ac:dyDescent="0.25">
      <c r="A6" t="s">
        <v>169</v>
      </c>
      <c r="B6" s="1">
        <v>46160</v>
      </c>
      <c r="C6" s="2">
        <v>0.91041666666666665</v>
      </c>
      <c r="D6" t="str">
        <f>HYPERLINK("https://tbc.wowhead.com/item=30090","[Weltenbrecher]")</f>
        <v>[Weltenbrecher]</v>
      </c>
      <c r="E6">
        <v>30090</v>
      </c>
      <c r="F6" t="s">
        <v>88</v>
      </c>
      <c r="G6" t="s">
        <v>54</v>
      </c>
      <c r="H6">
        <v>6</v>
      </c>
      <c r="I6" t="s">
        <v>28</v>
      </c>
      <c r="J6" t="s">
        <v>162</v>
      </c>
      <c r="K6" t="s">
        <v>49</v>
      </c>
      <c r="L6" t="str">
        <f>HYPERLINK("https://tbc.wowhead.com/item=28773","[Blutschrei]")</f>
        <v>[Blutschrei]</v>
      </c>
      <c r="N6">
        <v>2</v>
      </c>
      <c r="O6" t="b">
        <v>0</v>
      </c>
      <c r="P6" t="s">
        <v>25</v>
      </c>
      <c r="Q6" t="s">
        <v>89</v>
      </c>
      <c r="R6" t="s">
        <v>52</v>
      </c>
      <c r="T6" t="s">
        <v>135</v>
      </c>
      <c r="U6" s="4">
        <f t="shared" si="0"/>
        <v>46160</v>
      </c>
    </row>
    <row r="7" spans="1:22" x14ac:dyDescent="0.25">
      <c r="A7" t="s">
        <v>75</v>
      </c>
      <c r="B7" s="1">
        <v>46160</v>
      </c>
      <c r="C7" s="2">
        <v>0.87708333333333333</v>
      </c>
      <c r="D7" t="str">
        <f>HYPERLINK("https://tbc.wowhead.com/item=30665","[Ohrring der seelenvollen Meditation]")</f>
        <v>[Ohrring der seelenvollen Meditation]</v>
      </c>
      <c r="E7">
        <v>30665</v>
      </c>
      <c r="F7" t="s">
        <v>77</v>
      </c>
      <c r="G7" t="s">
        <v>54</v>
      </c>
      <c r="H7">
        <v>5</v>
      </c>
      <c r="I7" t="s">
        <v>67</v>
      </c>
      <c r="J7" t="s">
        <v>162</v>
      </c>
      <c r="K7" t="s">
        <v>45</v>
      </c>
      <c r="L7" t="str">
        <f>HYPERLINK("https://tbc.wowhead.com/item=29376","[Essenz des Märtyrers]")</f>
        <v>[Essenz des Märtyrers]</v>
      </c>
      <c r="M7" t="str">
        <f>HYPERLINK("https://tbc.wowhead.com/item=28590","[Schleife der Opferung]")</f>
        <v>[Schleife der Opferung]</v>
      </c>
      <c r="N7">
        <v>2</v>
      </c>
      <c r="O7" t="b">
        <v>0</v>
      </c>
      <c r="P7" t="s">
        <v>25</v>
      </c>
      <c r="Q7" t="s">
        <v>62</v>
      </c>
      <c r="R7" t="s">
        <v>63</v>
      </c>
      <c r="T7" t="s">
        <v>135</v>
      </c>
      <c r="U7" s="4">
        <f t="shared" si="0"/>
        <v>46160</v>
      </c>
    </row>
    <row r="8" spans="1:22" x14ac:dyDescent="0.25">
      <c r="A8" t="s">
        <v>135</v>
      </c>
      <c r="B8" s="1">
        <v>46160</v>
      </c>
      <c r="C8" s="2">
        <v>0.97916666666666663</v>
      </c>
      <c r="D8" t="str">
        <f>HYPERLINK("https://tbc.wowhead.com/item=30106","[Gürtel der hundert Tode]")</f>
        <v>[Gürtel der hundert Tode]</v>
      </c>
      <c r="E8">
        <v>30106</v>
      </c>
      <c r="F8" t="s">
        <v>108</v>
      </c>
      <c r="G8" t="s">
        <v>22</v>
      </c>
      <c r="H8">
        <v>3</v>
      </c>
      <c r="I8" t="s">
        <v>51</v>
      </c>
      <c r="J8" t="s">
        <v>162</v>
      </c>
      <c r="K8" t="s">
        <v>24</v>
      </c>
      <c r="L8" t="str">
        <f>HYPERLINK("https://tbc.wowhead.com/item=28750","[Gurt des Verrats]")</f>
        <v>[Gurt des Verrats]</v>
      </c>
      <c r="N8">
        <v>1</v>
      </c>
      <c r="O8" t="b">
        <v>0</v>
      </c>
      <c r="P8" t="s">
        <v>25</v>
      </c>
      <c r="Q8" t="s">
        <v>37</v>
      </c>
      <c r="R8" t="s">
        <v>55</v>
      </c>
      <c r="T8" t="s">
        <v>135</v>
      </c>
      <c r="U8" s="4">
        <f t="shared" si="0"/>
        <v>46160</v>
      </c>
    </row>
    <row r="9" spans="1:22" x14ac:dyDescent="0.25">
      <c r="A9" t="s">
        <v>115</v>
      </c>
      <c r="B9" s="1">
        <v>46160</v>
      </c>
      <c r="C9" s="2">
        <v>0.88749999999999996</v>
      </c>
      <c r="D9" t="str">
        <f>HYPERLINK("https://tbc.wowhead.com/item=30183","[Nethervortex]")</f>
        <v>[Nethervortex]</v>
      </c>
      <c r="E9">
        <v>30183</v>
      </c>
      <c r="F9" t="s">
        <v>116</v>
      </c>
      <c r="G9" t="s">
        <v>22</v>
      </c>
      <c r="H9">
        <v>3</v>
      </c>
      <c r="I9" t="s">
        <v>81</v>
      </c>
      <c r="J9" t="s">
        <v>162</v>
      </c>
      <c r="K9" t="s">
        <v>45</v>
      </c>
      <c r="N9">
        <v>1</v>
      </c>
      <c r="O9" t="b">
        <v>0</v>
      </c>
      <c r="P9" t="s">
        <v>25</v>
      </c>
      <c r="Q9" t="s">
        <v>117</v>
      </c>
      <c r="T9" t="s">
        <v>135</v>
      </c>
      <c r="U9" s="4">
        <f t="shared" si="0"/>
        <v>46160</v>
      </c>
    </row>
    <row r="10" spans="1:22" x14ac:dyDescent="0.25">
      <c r="A10" t="s">
        <v>115</v>
      </c>
      <c r="B10" s="1">
        <v>46160</v>
      </c>
      <c r="C10" s="2">
        <v>0.90972222222222221</v>
      </c>
      <c r="D10" t="str">
        <f>HYPERLINK("https://tbc.wowhead.com/item=30025","[Shuriken des Schlangenschreins]")</f>
        <v>[Shuriken des Schlangenschreins]</v>
      </c>
      <c r="E10">
        <v>30025</v>
      </c>
      <c r="F10" t="s">
        <v>118</v>
      </c>
      <c r="G10" t="s">
        <v>34</v>
      </c>
      <c r="H10">
        <v>5</v>
      </c>
      <c r="I10" t="s">
        <v>81</v>
      </c>
      <c r="J10" t="s">
        <v>162</v>
      </c>
      <c r="K10" t="s">
        <v>49</v>
      </c>
      <c r="L10" t="str">
        <f>HYPERLINK("https://tbc.wowhead.com/item=28772","[Phönixbogen des Sonnenzorns]")</f>
        <v>[Phönixbogen des Sonnenzorns]</v>
      </c>
      <c r="N10">
        <v>3</v>
      </c>
      <c r="O10" t="b">
        <v>0</v>
      </c>
      <c r="P10" t="s">
        <v>25</v>
      </c>
      <c r="Q10" t="s">
        <v>110</v>
      </c>
      <c r="R10" t="s">
        <v>110</v>
      </c>
      <c r="T10" t="s">
        <v>135</v>
      </c>
      <c r="U10" s="4">
        <f t="shared" si="0"/>
        <v>46160</v>
      </c>
    </row>
    <row r="11" spans="1:22" x14ac:dyDescent="0.25">
      <c r="A11" t="s">
        <v>115</v>
      </c>
      <c r="B11" s="1">
        <v>46160</v>
      </c>
      <c r="C11" s="2">
        <v>0.91041666666666665</v>
      </c>
      <c r="D11" t="str">
        <f>HYPERLINK("https://tbc.wowhead.com/item=30283","[Muster: Stiefel des langen Weges]")</f>
        <v>[Muster: Stiefel des langen Weges]</v>
      </c>
      <c r="E11">
        <v>30283</v>
      </c>
      <c r="F11" t="s">
        <v>119</v>
      </c>
      <c r="G11" t="s">
        <v>120</v>
      </c>
      <c r="H11">
        <v>0</v>
      </c>
      <c r="I11" t="s">
        <v>81</v>
      </c>
      <c r="J11" t="s">
        <v>162</v>
      </c>
      <c r="K11" t="s">
        <v>49</v>
      </c>
      <c r="N11" t="s">
        <v>121</v>
      </c>
      <c r="O11" t="b">
        <v>0</v>
      </c>
      <c r="P11" t="s">
        <v>25</v>
      </c>
      <c r="Q11" t="s">
        <v>122</v>
      </c>
      <c r="T11" t="s">
        <v>135</v>
      </c>
      <c r="U11" s="4">
        <f t="shared" si="0"/>
        <v>46160</v>
      </c>
    </row>
    <row r="12" spans="1:22" x14ac:dyDescent="0.25">
      <c r="A12" t="s">
        <v>128</v>
      </c>
      <c r="B12" s="1">
        <v>46160</v>
      </c>
      <c r="C12" s="2">
        <v>0.90902777777777777</v>
      </c>
      <c r="D12" t="str">
        <f>HYPERLINK("https://tbc.wowhead.com/item=30008","[Anhänger der verlorenen Zeiten]")</f>
        <v>[Anhänger der verlorenen Zeiten]</v>
      </c>
      <c r="E12">
        <v>30008</v>
      </c>
      <c r="F12" t="s">
        <v>129</v>
      </c>
      <c r="G12" t="s">
        <v>34</v>
      </c>
      <c r="H12">
        <v>5</v>
      </c>
      <c r="I12" t="s">
        <v>57</v>
      </c>
      <c r="J12" t="s">
        <v>162</v>
      </c>
      <c r="K12" t="s">
        <v>49</v>
      </c>
      <c r="L12" t="str">
        <f>HYPERLINK("https://tbc.wowhead.com/item=29333","[Prophetenhalsring der Sethekk]")</f>
        <v>[Prophetenhalsring der Sethekk]</v>
      </c>
      <c r="N12">
        <v>3</v>
      </c>
      <c r="O12" t="b">
        <v>0</v>
      </c>
      <c r="P12" t="s">
        <v>25</v>
      </c>
      <c r="Q12" t="s">
        <v>62</v>
      </c>
      <c r="R12" t="s">
        <v>76</v>
      </c>
      <c r="T12" t="s">
        <v>135</v>
      </c>
      <c r="U12" s="4">
        <f t="shared" si="0"/>
        <v>46160</v>
      </c>
    </row>
    <row r="13" spans="1:22" x14ac:dyDescent="0.25">
      <c r="A13" t="s">
        <v>20</v>
      </c>
      <c r="B13" s="1">
        <v>46160</v>
      </c>
      <c r="C13" s="2">
        <v>0.97916666666666663</v>
      </c>
      <c r="D13" t="str">
        <f>HYPERLINK("https://tbc.wowhead.com/item=30244","[Helm des bezwungenen Helden]")</f>
        <v>[Helm des bezwungenen Helden]</v>
      </c>
      <c r="E13">
        <v>30244</v>
      </c>
      <c r="F13" t="s">
        <v>21</v>
      </c>
      <c r="G13" t="s">
        <v>22</v>
      </c>
      <c r="H13">
        <v>0</v>
      </c>
      <c r="I13" t="s">
        <v>23</v>
      </c>
      <c r="J13" t="s">
        <v>162</v>
      </c>
      <c r="K13" t="s">
        <v>24</v>
      </c>
      <c r="L13" t="str">
        <f>HYPERLINK("https://tbc.wowhead.com/item=28963","[Krone des Herzens der Leere]")</f>
        <v>[Krone des Herzens der Leere]</v>
      </c>
      <c r="N13">
        <v>1</v>
      </c>
      <c r="O13" t="b">
        <v>0</v>
      </c>
      <c r="P13" t="s">
        <v>25</v>
      </c>
      <c r="Q13" t="s">
        <v>26</v>
      </c>
      <c r="T13" t="s">
        <v>20</v>
      </c>
      <c r="U13" s="4">
        <f t="shared" si="0"/>
        <v>46160</v>
      </c>
    </row>
    <row r="14" spans="1:22" x14ac:dyDescent="0.25">
      <c r="A14" t="s">
        <v>136</v>
      </c>
      <c r="B14" s="1">
        <v>46160</v>
      </c>
      <c r="C14" s="2">
        <v>0.90902777777777777</v>
      </c>
      <c r="D14" t="str">
        <f>HYPERLINK("https://tbc.wowhead.com/item=30245","[Gamaschen des bezwungenen Champions]")</f>
        <v>[Gamaschen des bezwungenen Champions]</v>
      </c>
      <c r="E14">
        <v>30245</v>
      </c>
      <c r="F14" t="s">
        <v>48</v>
      </c>
      <c r="G14" t="s">
        <v>22</v>
      </c>
      <c r="H14">
        <v>1</v>
      </c>
      <c r="I14" t="s">
        <v>41</v>
      </c>
      <c r="J14" t="s">
        <v>162</v>
      </c>
      <c r="K14" t="s">
        <v>49</v>
      </c>
      <c r="L14" t="str">
        <f>HYPERLINK("https://tbc.wowhead.com/item=28751","[Gamaschen der Herzensflamme]")</f>
        <v>[Gamaschen der Herzensflamme]</v>
      </c>
      <c r="N14">
        <v>1</v>
      </c>
      <c r="O14" t="b">
        <v>0</v>
      </c>
      <c r="P14" t="s">
        <v>25</v>
      </c>
      <c r="Q14" t="s">
        <v>26</v>
      </c>
      <c r="T14" t="s">
        <v>135</v>
      </c>
      <c r="U14" s="4">
        <f t="shared" si="0"/>
        <v>46160</v>
      </c>
    </row>
    <row r="15" spans="1:22" x14ac:dyDescent="0.25">
      <c r="A15" t="s">
        <v>136</v>
      </c>
      <c r="B15" s="1">
        <v>46160</v>
      </c>
      <c r="C15" s="2">
        <v>0.91041666666666665</v>
      </c>
      <c r="D15" t="str">
        <f>HYPERLINK("https://tbc.wowhead.com/item=30097","[Stachelige Korallenschulterpolster]")</f>
        <v>[Stachelige Korallenschulterpolster]</v>
      </c>
      <c r="E15">
        <v>30097</v>
      </c>
      <c r="F15" t="s">
        <v>102</v>
      </c>
      <c r="G15" t="s">
        <v>34</v>
      </c>
      <c r="H15">
        <v>5</v>
      </c>
      <c r="I15" t="s">
        <v>41</v>
      </c>
      <c r="J15" t="s">
        <v>162</v>
      </c>
      <c r="K15" t="s">
        <v>49</v>
      </c>
      <c r="L15" t="str">
        <f>HYPERLINK("https://tbc.wowhead.com/item=29031","[Schulterpolster des Orkans]")</f>
        <v>[Schulterpolster des Orkans]</v>
      </c>
      <c r="N15">
        <v>3</v>
      </c>
      <c r="O15" t="b">
        <v>0</v>
      </c>
      <c r="P15" t="s">
        <v>25</v>
      </c>
      <c r="Q15" t="s">
        <v>83</v>
      </c>
      <c r="R15" t="s">
        <v>31</v>
      </c>
      <c r="T15" t="s">
        <v>135</v>
      </c>
      <c r="U15" s="4">
        <f t="shared" si="0"/>
        <v>46160</v>
      </c>
    </row>
    <row r="16" spans="1:22" x14ac:dyDescent="0.25">
      <c r="A16" t="s">
        <v>91</v>
      </c>
      <c r="B16" s="1">
        <v>46160</v>
      </c>
      <c r="C16" s="2">
        <v>0.86250000000000004</v>
      </c>
      <c r="D16" t="str">
        <f>HYPERLINK("https://tbc.wowhead.com/item=30664","[Lebendige Wurzel des Wildherzens]")</f>
        <v>[Lebendige Wurzel des Wildherzens]</v>
      </c>
      <c r="E16">
        <v>30664</v>
      </c>
      <c r="F16" t="s">
        <v>92</v>
      </c>
      <c r="G16" t="s">
        <v>34</v>
      </c>
      <c r="H16">
        <v>2</v>
      </c>
      <c r="I16" t="s">
        <v>51</v>
      </c>
      <c r="J16" t="s">
        <v>162</v>
      </c>
      <c r="K16" t="s">
        <v>45</v>
      </c>
      <c r="L16" t="str">
        <f>HYPERLINK("https://tbc.wowhead.com/item=13503","[Alchimistenstein]")</f>
        <v>[Alchimistenstein]</v>
      </c>
      <c r="M16" t="str">
        <f>HYPERLINK("https://tbc.wowhead.com/item=29179","[Xi'ris Gabe]")</f>
        <v>[Xi'ris Gabe]</v>
      </c>
      <c r="N16">
        <v>3</v>
      </c>
      <c r="O16" t="b">
        <v>0</v>
      </c>
      <c r="P16" t="s">
        <v>25</v>
      </c>
      <c r="Q16" t="s">
        <v>62</v>
      </c>
      <c r="R16" t="s">
        <v>63</v>
      </c>
      <c r="T16" t="s">
        <v>135</v>
      </c>
      <c r="U16" s="4">
        <f t="shared" si="0"/>
        <v>46160</v>
      </c>
    </row>
    <row r="17" spans="1:21" x14ac:dyDescent="0.25">
      <c r="A17" t="s">
        <v>95</v>
      </c>
      <c r="B17" s="1">
        <v>46160</v>
      </c>
      <c r="C17" s="2">
        <v>0.91180555555555554</v>
      </c>
      <c r="D17" t="str">
        <f>HYPERLINK("https://tbc.wowhead.com/item=30241","[Handschuhe des bezwungenen Helden]")</f>
        <v>[Handschuhe des bezwungenen Helden]</v>
      </c>
      <c r="E17">
        <v>30241</v>
      </c>
      <c r="F17" t="s">
        <v>64</v>
      </c>
      <c r="G17" t="s">
        <v>22</v>
      </c>
      <c r="H17">
        <v>0</v>
      </c>
      <c r="I17" t="s">
        <v>57</v>
      </c>
      <c r="J17" t="s">
        <v>162</v>
      </c>
      <c r="K17" t="s">
        <v>49</v>
      </c>
      <c r="L17" t="str">
        <f>HYPERLINK("https://tbc.wowhead.com/item=21847","[Zauberfeuerhandschuhe]")</f>
        <v>[Zauberfeuerhandschuhe]</v>
      </c>
      <c r="N17">
        <v>1</v>
      </c>
      <c r="O17" t="b">
        <v>0</v>
      </c>
      <c r="P17" t="s">
        <v>25</v>
      </c>
      <c r="Q17" t="s">
        <v>26</v>
      </c>
      <c r="T17" t="s">
        <v>135</v>
      </c>
      <c r="U17" s="4">
        <f t="shared" si="0"/>
        <v>46160</v>
      </c>
    </row>
    <row r="18" spans="1:21" x14ac:dyDescent="0.25">
      <c r="A18" t="s">
        <v>39</v>
      </c>
      <c r="B18" s="1">
        <v>46160</v>
      </c>
      <c r="C18" s="2">
        <v>0.8618055555555556</v>
      </c>
      <c r="D18" t="str">
        <f>HYPERLINK("https://tbc.wowhead.com/item=30052","[Ring der Tödlichkeit]")</f>
        <v>[Ring der Tödlichkeit]</v>
      </c>
      <c r="E18">
        <v>30052</v>
      </c>
      <c r="F18" t="s">
        <v>99</v>
      </c>
      <c r="G18" t="s">
        <v>22</v>
      </c>
      <c r="H18">
        <v>3</v>
      </c>
      <c r="I18" t="s">
        <v>97</v>
      </c>
      <c r="J18" t="s">
        <v>162</v>
      </c>
      <c r="K18" t="s">
        <v>45</v>
      </c>
      <c r="L18" t="str">
        <f>HYPERLINK("https://tbc.wowhead.com/item=29282","[Violettes Siegel]")</f>
        <v>[Violettes Siegel]</v>
      </c>
      <c r="M18" t="str">
        <f>HYPERLINK("https://tbc.wowhead.com/item=28323","[Ring des schattenhaften Schicksals]")</f>
        <v>[Ring des schattenhaften Schicksals]</v>
      </c>
      <c r="N18">
        <v>1</v>
      </c>
      <c r="O18" t="b">
        <v>0</v>
      </c>
      <c r="P18" t="s">
        <v>25</v>
      </c>
      <c r="Q18" t="s">
        <v>62</v>
      </c>
      <c r="R18" t="s">
        <v>87</v>
      </c>
      <c r="S18" t="s">
        <v>100</v>
      </c>
      <c r="T18" t="s">
        <v>135</v>
      </c>
      <c r="U18" s="4">
        <f t="shared" si="0"/>
        <v>46160</v>
      </c>
    </row>
    <row r="19" spans="1:21" x14ac:dyDescent="0.25">
      <c r="A19" t="s">
        <v>104</v>
      </c>
      <c r="B19" s="1">
        <v>46160</v>
      </c>
      <c r="C19" s="2">
        <v>0.90902777777777777</v>
      </c>
      <c r="D19" t="str">
        <f>HYPERLINK("https://tbc.wowhead.com/item=30245","[Gamaschen des bezwungenen Champions]")</f>
        <v>[Gamaschen des bezwungenen Champions]</v>
      </c>
      <c r="E19">
        <v>30245</v>
      </c>
      <c r="F19" t="s">
        <v>48</v>
      </c>
      <c r="G19" t="s">
        <v>22</v>
      </c>
      <c r="H19">
        <v>4</v>
      </c>
      <c r="I19" t="s">
        <v>28</v>
      </c>
      <c r="J19" t="s">
        <v>162</v>
      </c>
      <c r="K19" t="s">
        <v>49</v>
      </c>
      <c r="L19" t="str">
        <f>HYPERLINK("https://tbc.wowhead.com/item=29069","[Beinschützer des Rechtsprechers]")</f>
        <v>[Beinschützer des Rechtsprechers]</v>
      </c>
      <c r="N19">
        <v>1</v>
      </c>
      <c r="O19" t="b">
        <v>0</v>
      </c>
      <c r="P19" t="s">
        <v>25</v>
      </c>
      <c r="Q19" t="s">
        <v>26</v>
      </c>
      <c r="T19" t="s">
        <v>135</v>
      </c>
      <c r="U19" s="4">
        <f t="shared" si="0"/>
        <v>46160</v>
      </c>
    </row>
    <row r="20" spans="1:21" x14ac:dyDescent="0.25">
      <c r="A20" t="s">
        <v>104</v>
      </c>
      <c r="B20" s="1">
        <v>46160</v>
      </c>
      <c r="C20" s="2">
        <v>0.91041666666666665</v>
      </c>
      <c r="D20" t="str">
        <f>HYPERLINK("https://tbc.wowhead.com/item=30239","[Handschuhe des bezwungenen Champions]")</f>
        <v>[Handschuhe des bezwungenen Champions]</v>
      </c>
      <c r="E20">
        <v>30239</v>
      </c>
      <c r="F20" t="s">
        <v>103</v>
      </c>
      <c r="G20" t="s">
        <v>22</v>
      </c>
      <c r="H20">
        <v>2</v>
      </c>
      <c r="I20" t="s">
        <v>28</v>
      </c>
      <c r="J20" t="s">
        <v>162</v>
      </c>
      <c r="K20" t="s">
        <v>49</v>
      </c>
      <c r="L20" t="str">
        <f>HYPERLINK("https://tbc.wowhead.com/item=29067","[Handschützer des Rechtsprechers]")</f>
        <v>[Handschützer des Rechtsprechers]</v>
      </c>
      <c r="N20">
        <v>1</v>
      </c>
      <c r="O20" t="b">
        <v>0</v>
      </c>
      <c r="P20" t="s">
        <v>25</v>
      </c>
      <c r="Q20" t="s">
        <v>26</v>
      </c>
      <c r="T20" t="s">
        <v>135</v>
      </c>
      <c r="U20" s="4">
        <f t="shared" si="0"/>
        <v>46160</v>
      </c>
    </row>
    <row r="21" spans="1:21" x14ac:dyDescent="0.25">
      <c r="A21" t="s">
        <v>104</v>
      </c>
      <c r="B21" s="1">
        <v>46160</v>
      </c>
      <c r="C21" s="2">
        <v>0.97847222222222219</v>
      </c>
      <c r="D21" t="str">
        <f>HYPERLINK("https://tbc.wowhead.com/item=30242","[Helm des bezwungenen Champions]")</f>
        <v>[Helm des bezwungenen Champions]</v>
      </c>
      <c r="E21">
        <v>30242</v>
      </c>
      <c r="F21" t="s">
        <v>105</v>
      </c>
      <c r="G21" t="s">
        <v>22</v>
      </c>
      <c r="H21">
        <v>1</v>
      </c>
      <c r="I21" t="s">
        <v>28</v>
      </c>
      <c r="J21" t="s">
        <v>162</v>
      </c>
      <c r="K21" t="s">
        <v>24</v>
      </c>
      <c r="L21" t="str">
        <f>HYPERLINK("https://tbc.wowhead.com/item=32473","[Panzatronikbrille]")</f>
        <v>[Panzatronikbrille]</v>
      </c>
      <c r="N21">
        <v>1</v>
      </c>
      <c r="O21" t="b">
        <v>0</v>
      </c>
      <c r="P21" t="s">
        <v>25</v>
      </c>
      <c r="Q21" t="s">
        <v>26</v>
      </c>
      <c r="T21" t="s">
        <v>104</v>
      </c>
      <c r="U21" s="4">
        <f t="shared" si="0"/>
        <v>46160</v>
      </c>
    </row>
    <row r="22" spans="1:21" x14ac:dyDescent="0.25">
      <c r="A22" t="s">
        <v>183</v>
      </c>
      <c r="B22" s="1">
        <v>46160</v>
      </c>
      <c r="C22" s="2">
        <v>0.90902777777777777</v>
      </c>
      <c r="D22" t="str">
        <f>HYPERLINK("https://tbc.wowhead.com/item=30081","[Kriegsstiefel der Auslöschung]")</f>
        <v>[Kriegsstiefel der Auslöschung]</v>
      </c>
      <c r="E22">
        <v>30081</v>
      </c>
      <c r="F22" t="s">
        <v>111</v>
      </c>
      <c r="G22" t="s">
        <v>22</v>
      </c>
      <c r="H22">
        <v>2</v>
      </c>
      <c r="I22" t="s">
        <v>81</v>
      </c>
      <c r="J22" t="s">
        <v>162</v>
      </c>
      <c r="K22" t="s">
        <v>49</v>
      </c>
      <c r="L22" t="str">
        <f>HYPERLINK("https://tbc.wowhead.com/item=28608","[Eisenschreiter der Dringlichkeit]")</f>
        <v>[Eisenschreiter der Dringlichkeit]</v>
      </c>
      <c r="N22">
        <v>1</v>
      </c>
      <c r="O22" t="b">
        <v>0</v>
      </c>
      <c r="P22" t="s">
        <v>25</v>
      </c>
      <c r="Q22" t="s">
        <v>30</v>
      </c>
      <c r="R22" t="s">
        <v>112</v>
      </c>
      <c r="T22" t="s">
        <v>135</v>
      </c>
      <c r="U22" s="4">
        <f t="shared" si="0"/>
        <v>46160</v>
      </c>
    </row>
    <row r="23" spans="1:21" x14ac:dyDescent="0.25">
      <c r="A23" t="s">
        <v>40</v>
      </c>
      <c r="B23" s="1">
        <v>46160</v>
      </c>
      <c r="C23" s="2">
        <v>0.87777777777777777</v>
      </c>
      <c r="D23" t="str">
        <f>HYPERLINK("https://tbc.wowhead.com/item=30023","[Totem des Mahlstroms]")</f>
        <v>[Totem des Mahlstroms]</v>
      </c>
      <c r="E23">
        <v>30023</v>
      </c>
      <c r="F23" t="s">
        <v>43</v>
      </c>
      <c r="G23" t="s">
        <v>44</v>
      </c>
      <c r="H23">
        <v>2</v>
      </c>
      <c r="I23" t="s">
        <v>41</v>
      </c>
      <c r="J23" t="s">
        <v>162</v>
      </c>
      <c r="K23" t="s">
        <v>45</v>
      </c>
      <c r="N23">
        <v>4</v>
      </c>
      <c r="O23" t="b">
        <v>0</v>
      </c>
      <c r="P23" t="s">
        <v>25</v>
      </c>
      <c r="Q23" t="s">
        <v>46</v>
      </c>
      <c r="R23" t="s">
        <v>47</v>
      </c>
      <c r="T23" t="s">
        <v>135</v>
      </c>
      <c r="U23" s="4">
        <f t="shared" si="0"/>
        <v>46160</v>
      </c>
    </row>
    <row r="24" spans="1:21" x14ac:dyDescent="0.25">
      <c r="A24" t="s">
        <v>40</v>
      </c>
      <c r="B24" s="1">
        <v>46160</v>
      </c>
      <c r="C24" s="2">
        <v>0.90902777777777777</v>
      </c>
      <c r="D24" t="str">
        <f>HYPERLINK("https://tbc.wowhead.com/item=30245","[Gamaschen des bezwungenen Champions]")</f>
        <v>[Gamaschen des bezwungenen Champions]</v>
      </c>
      <c r="E24">
        <v>30245</v>
      </c>
      <c r="F24" t="s">
        <v>48</v>
      </c>
      <c r="G24" t="s">
        <v>22</v>
      </c>
      <c r="H24">
        <v>1</v>
      </c>
      <c r="I24" t="s">
        <v>41</v>
      </c>
      <c r="J24" t="s">
        <v>162</v>
      </c>
      <c r="K24" t="s">
        <v>49</v>
      </c>
      <c r="L24" t="str">
        <f>HYPERLINK("https://tbc.wowhead.com/item=24262","[Hose des Zauberschlags]")</f>
        <v>[Hose des Zauberschlags]</v>
      </c>
      <c r="N24">
        <v>1</v>
      </c>
      <c r="O24" t="b">
        <v>0</v>
      </c>
      <c r="P24" t="s">
        <v>25</v>
      </c>
      <c r="Q24" t="s">
        <v>26</v>
      </c>
      <c r="T24" t="s">
        <v>135</v>
      </c>
      <c r="U24" s="4">
        <f t="shared" si="0"/>
        <v>46160</v>
      </c>
    </row>
    <row r="25" spans="1:21" x14ac:dyDescent="0.25">
      <c r="A25" t="s">
        <v>56</v>
      </c>
      <c r="B25" s="1">
        <v>46160</v>
      </c>
      <c r="C25" s="2">
        <v>0.90902777777777777</v>
      </c>
      <c r="D25" t="str">
        <f>HYPERLINK("https://tbc.wowhead.com/item=30720","[Flechte der Schlangenschlinge]")</f>
        <v>[Flechte der Schlangenschlinge]</v>
      </c>
      <c r="E25">
        <v>30720</v>
      </c>
      <c r="F25" t="s">
        <v>61</v>
      </c>
      <c r="G25" t="s">
        <v>22</v>
      </c>
      <c r="H25">
        <v>3</v>
      </c>
      <c r="I25" t="s">
        <v>57</v>
      </c>
      <c r="J25" t="s">
        <v>162</v>
      </c>
      <c r="K25" t="s">
        <v>49</v>
      </c>
      <c r="L25" t="str">
        <f>HYPERLINK("https://tbc.wowhead.com/item=29370","[Ikone des Silberwappens]")</f>
        <v>[Ikone des Silberwappens]</v>
      </c>
      <c r="M25" t="str">
        <f>HYPERLINK("https://tbc.wowhead.com/item=28785","[Der Blitzkondensator]")</f>
        <v>[Der Blitzkondensator]</v>
      </c>
      <c r="N25">
        <v>1</v>
      </c>
      <c r="O25" t="b">
        <v>0</v>
      </c>
      <c r="P25" t="s">
        <v>25</v>
      </c>
      <c r="Q25" t="s">
        <v>62</v>
      </c>
      <c r="R25" t="s">
        <v>63</v>
      </c>
      <c r="T25" t="s">
        <v>135</v>
      </c>
      <c r="U25" s="4">
        <f t="shared" si="0"/>
        <v>46160</v>
      </c>
    </row>
    <row r="26" spans="1:21" x14ac:dyDescent="0.25">
      <c r="A26" t="s">
        <v>132</v>
      </c>
      <c r="B26" s="1">
        <v>46160</v>
      </c>
      <c r="C26" s="2">
        <v>0.98055555555555551</v>
      </c>
      <c r="D26" t="str">
        <f>HYPERLINK("https://tbc.wowhead.com/item=30109","[Ring der Endlosschleife]")</f>
        <v>[Ring der Endlosschleife]</v>
      </c>
      <c r="E26">
        <v>30109</v>
      </c>
      <c r="F26" t="s">
        <v>133</v>
      </c>
      <c r="G26" t="s">
        <v>22</v>
      </c>
      <c r="H26">
        <v>5</v>
      </c>
      <c r="I26" t="s">
        <v>23</v>
      </c>
      <c r="J26" t="s">
        <v>162</v>
      </c>
      <c r="K26" t="s">
        <v>24</v>
      </c>
      <c r="L26" t="str">
        <f>HYPERLINK("https://tbc.wowhead.com/item=28793","[Band des purpurroten Furors]")</f>
        <v>[Band des purpurroten Furors]</v>
      </c>
      <c r="M26" t="str">
        <f>HYPERLINK("https://tbc.wowhead.com/item=28753","[Ring der Wiederkehr]")</f>
        <v>[Ring der Wiederkehr]</v>
      </c>
      <c r="N26">
        <v>1</v>
      </c>
      <c r="O26" t="b">
        <v>0</v>
      </c>
      <c r="P26" t="s">
        <v>25</v>
      </c>
      <c r="Q26" t="s">
        <v>62</v>
      </c>
      <c r="R26" t="s">
        <v>87</v>
      </c>
      <c r="T26" t="s">
        <v>132</v>
      </c>
      <c r="U26" s="4">
        <f t="shared" si="0"/>
        <v>46160</v>
      </c>
    </row>
    <row r="27" spans="1:21" x14ac:dyDescent="0.25">
      <c r="A27" t="s">
        <v>70</v>
      </c>
      <c r="B27" s="1">
        <v>46160</v>
      </c>
      <c r="C27" s="2">
        <v>0.97916666666666663</v>
      </c>
      <c r="D27" t="str">
        <f>HYPERLINK("https://tbc.wowhead.com/item=30244","[Helm des bezwungenen Helden]")</f>
        <v>[Helm des bezwungenen Helden]</v>
      </c>
      <c r="E27">
        <v>30244</v>
      </c>
      <c r="F27" t="s">
        <v>21</v>
      </c>
      <c r="G27" t="s">
        <v>22</v>
      </c>
      <c r="H27">
        <v>1</v>
      </c>
      <c r="I27" t="s">
        <v>23</v>
      </c>
      <c r="J27" t="s">
        <v>162</v>
      </c>
      <c r="K27" t="s">
        <v>24</v>
      </c>
      <c r="L27" t="str">
        <f>HYPERLINK("https://tbc.wowhead.com/item=28963","[Krone des Herzens der Leere]")</f>
        <v>[Krone des Herzens der Leere]</v>
      </c>
      <c r="N27">
        <v>1</v>
      </c>
      <c r="O27" t="b">
        <v>0</v>
      </c>
      <c r="P27" t="s">
        <v>25</v>
      </c>
      <c r="Q27" t="s">
        <v>26</v>
      </c>
      <c r="T27" t="s">
        <v>70</v>
      </c>
      <c r="U27" s="4">
        <f t="shared" si="0"/>
        <v>46160</v>
      </c>
    </row>
    <row r="28" spans="1:21" x14ac:dyDescent="0.25">
      <c r="A28" t="s">
        <v>50</v>
      </c>
      <c r="B28" s="1">
        <v>46161</v>
      </c>
      <c r="C28" s="2">
        <v>0.90069444444444446</v>
      </c>
      <c r="D28" t="str">
        <f>HYPERLINK("https://tbc.wowhead.com/item=30029","[Bark-Gloves of Ancient Wisdom]")</f>
        <v>[Bark-Gloves of Ancient Wisdom]</v>
      </c>
      <c r="E28">
        <v>30029</v>
      </c>
      <c r="F28" t="s">
        <v>33</v>
      </c>
      <c r="G28" t="s">
        <v>34</v>
      </c>
      <c r="H28">
        <v>2</v>
      </c>
      <c r="I28" t="s">
        <v>51</v>
      </c>
      <c r="J28" t="s">
        <v>35</v>
      </c>
      <c r="K28" t="s">
        <v>36</v>
      </c>
      <c r="L28" t="str">
        <f>HYPERLINK("https://tbc.wowhead.com/item=27536","[Hallowed Handwraps]")</f>
        <v>[Hallowed Handwraps]</v>
      </c>
      <c r="N28">
        <v>3</v>
      </c>
      <c r="O28" t="b">
        <v>0</v>
      </c>
      <c r="P28" t="s">
        <v>25</v>
      </c>
      <c r="Q28" t="s">
        <v>37</v>
      </c>
      <c r="R28" t="s">
        <v>38</v>
      </c>
      <c r="S28" t="s">
        <v>163</v>
      </c>
      <c r="T28" t="s">
        <v>50</v>
      </c>
      <c r="U28" s="4">
        <f t="shared" si="0"/>
        <v>46161</v>
      </c>
    </row>
    <row r="29" spans="1:21" x14ac:dyDescent="0.25">
      <c r="A29" t="s">
        <v>165</v>
      </c>
      <c r="B29" s="1">
        <v>46161</v>
      </c>
      <c r="C29" s="2">
        <v>0.90138888888888891</v>
      </c>
      <c r="D29" t="str">
        <f>HYPERLINK("https://tbc.wowhead.com/item=29949","[Arcanite Steam-Pistol]")</f>
        <v>[Arcanite Steam-Pistol]</v>
      </c>
      <c r="E29">
        <v>29949</v>
      </c>
      <c r="F29" t="s">
        <v>166</v>
      </c>
      <c r="G29" t="s">
        <v>54</v>
      </c>
      <c r="H29">
        <v>3</v>
      </c>
      <c r="I29" t="s">
        <v>97</v>
      </c>
      <c r="J29" t="s">
        <v>35</v>
      </c>
      <c r="K29" t="s">
        <v>36</v>
      </c>
      <c r="L29" t="str">
        <f>HYPERLINK("https://tbc.wowhead.com/item=28772","[Sunfury Bow of the Phoenix]")</f>
        <v>[Sunfury Bow of the Phoenix]</v>
      </c>
      <c r="N29">
        <v>2</v>
      </c>
      <c r="O29" t="b">
        <v>0</v>
      </c>
      <c r="P29" t="s">
        <v>25</v>
      </c>
      <c r="Q29" t="s">
        <v>167</v>
      </c>
      <c r="R29" t="s">
        <v>59</v>
      </c>
      <c r="T29" t="s">
        <v>50</v>
      </c>
      <c r="U29" s="4">
        <f t="shared" si="0"/>
        <v>46161</v>
      </c>
    </row>
    <row r="30" spans="1:21" x14ac:dyDescent="0.25">
      <c r="A30" t="s">
        <v>115</v>
      </c>
      <c r="B30" s="1">
        <v>46161</v>
      </c>
      <c r="C30" s="2">
        <v>0.91111111111111109</v>
      </c>
      <c r="D30" t="str">
        <f>HYPERLINK("https://tbc.wowhead.com/item=29983","[Fel-Steel Warhelm]")</f>
        <v>[Fel-Steel Warhelm]</v>
      </c>
      <c r="E30">
        <v>29983</v>
      </c>
      <c r="F30" t="s">
        <v>173</v>
      </c>
      <c r="G30" t="s">
        <v>34</v>
      </c>
      <c r="H30">
        <v>1</v>
      </c>
      <c r="I30" t="s">
        <v>81</v>
      </c>
      <c r="J30" t="s">
        <v>35</v>
      </c>
      <c r="K30" t="s">
        <v>36</v>
      </c>
      <c r="L30" t="str">
        <f>HYPERLINK("https://tbc.wowhead.com/item=29011","[Warbringer Greathelm]")</f>
        <v>[Warbringer Greathelm]</v>
      </c>
      <c r="N30">
        <v>3</v>
      </c>
      <c r="O30" t="b">
        <v>0</v>
      </c>
      <c r="P30" t="s">
        <v>25</v>
      </c>
      <c r="Q30" t="s">
        <v>30</v>
      </c>
      <c r="R30" t="s">
        <v>107</v>
      </c>
      <c r="T30" t="s">
        <v>50</v>
      </c>
      <c r="U30" s="4">
        <f t="shared" si="0"/>
        <v>46161</v>
      </c>
    </row>
    <row r="31" spans="1:21" x14ac:dyDescent="0.25">
      <c r="A31" t="s">
        <v>115</v>
      </c>
      <c r="B31" s="1">
        <v>46161</v>
      </c>
      <c r="C31" s="2">
        <v>0.92986111111111114</v>
      </c>
      <c r="D31" t="str">
        <f>HYPERLINK("https://tbc.wowhead.com/item=30249","[Pauldrons of the Vanquished Defender]")</f>
        <v>[Pauldrons of the Vanquished Defender]</v>
      </c>
      <c r="E31">
        <v>30249</v>
      </c>
      <c r="F31" t="s">
        <v>78</v>
      </c>
      <c r="G31" t="s">
        <v>22</v>
      </c>
      <c r="H31">
        <v>0</v>
      </c>
      <c r="I31" t="s">
        <v>81</v>
      </c>
      <c r="J31" t="s">
        <v>35</v>
      </c>
      <c r="K31" t="s">
        <v>36</v>
      </c>
      <c r="L31" t="str">
        <f>HYPERLINK("https://tbc.wowhead.com/item=29016","[Warbringer Shoulderguards]")</f>
        <v>[Warbringer Shoulderguards]</v>
      </c>
      <c r="N31">
        <v>1</v>
      </c>
      <c r="O31" t="b">
        <v>0</v>
      </c>
      <c r="P31" t="s">
        <v>25</v>
      </c>
      <c r="Q31" t="s">
        <v>26</v>
      </c>
      <c r="T31" t="s">
        <v>50</v>
      </c>
      <c r="U31" s="4">
        <f t="shared" si="0"/>
        <v>46161</v>
      </c>
    </row>
    <row r="32" spans="1:21" x14ac:dyDescent="0.25">
      <c r="A32" t="s">
        <v>91</v>
      </c>
      <c r="B32" s="1">
        <v>46161</v>
      </c>
      <c r="C32" s="2">
        <v>0.90069444444444446</v>
      </c>
      <c r="D32" t="str">
        <f>HYPERLINK("https://tbc.wowhead.com/item=29918","[Mindstorm Wristbands]")</f>
        <v>[Mindstorm Wristbands]</v>
      </c>
      <c r="E32">
        <v>29918</v>
      </c>
      <c r="F32" t="s">
        <v>176</v>
      </c>
      <c r="G32" t="s">
        <v>22</v>
      </c>
      <c r="H32">
        <v>3</v>
      </c>
      <c r="I32" t="s">
        <v>51</v>
      </c>
      <c r="J32" t="s">
        <v>35</v>
      </c>
      <c r="K32" t="s">
        <v>36</v>
      </c>
      <c r="L32" t="str">
        <f>HYPERLINK("https://tbc.wowhead.com/item=28453","[Bracers of the White Stag]")</f>
        <v>[Bracers of the White Stag]</v>
      </c>
      <c r="N32">
        <v>1</v>
      </c>
      <c r="O32" t="b">
        <v>0</v>
      </c>
      <c r="P32" t="s">
        <v>25</v>
      </c>
      <c r="Q32" t="s">
        <v>60</v>
      </c>
      <c r="R32" t="s">
        <v>73</v>
      </c>
      <c r="T32" t="s">
        <v>50</v>
      </c>
      <c r="U32" s="4">
        <f t="shared" si="0"/>
        <v>46161</v>
      </c>
    </row>
    <row r="33" spans="1:21" x14ac:dyDescent="0.25">
      <c r="A33" t="s">
        <v>104</v>
      </c>
      <c r="B33" s="1">
        <v>46161</v>
      </c>
      <c r="C33" s="2">
        <v>0.93055555555555558</v>
      </c>
      <c r="D33" t="str">
        <f>HYPERLINK("https://tbc.wowhead.com/item=32267","[Boots of the Resilient]")</f>
        <v>[Boots of the Resilient]</v>
      </c>
      <c r="E33">
        <v>32267</v>
      </c>
      <c r="F33" t="s">
        <v>178</v>
      </c>
      <c r="G33" t="s">
        <v>22</v>
      </c>
      <c r="H33">
        <v>1</v>
      </c>
      <c r="I33" t="s">
        <v>28</v>
      </c>
      <c r="J33" t="s">
        <v>35</v>
      </c>
      <c r="K33" t="s">
        <v>36</v>
      </c>
      <c r="L33" t="str">
        <f>HYPERLINK("https://tbc.wowhead.com/item=29254","[Boots of the Righteous Path]")</f>
        <v>[Boots of the Righteous Path]</v>
      </c>
      <c r="N33">
        <v>1</v>
      </c>
      <c r="O33" t="b">
        <v>0</v>
      </c>
      <c r="P33" t="s">
        <v>25</v>
      </c>
      <c r="Q33" t="s">
        <v>30</v>
      </c>
      <c r="R33" t="s">
        <v>112</v>
      </c>
      <c r="T33" t="s">
        <v>50</v>
      </c>
      <c r="U33" s="4">
        <f t="shared" si="0"/>
        <v>46161</v>
      </c>
    </row>
    <row r="34" spans="1:21" x14ac:dyDescent="0.25">
      <c r="A34" t="s">
        <v>104</v>
      </c>
      <c r="B34" s="1">
        <v>46161</v>
      </c>
      <c r="C34" s="2">
        <v>0.93055555555555558</v>
      </c>
      <c r="D34" t="str">
        <f>HYPERLINK("https://tbc.wowhead.com/item=30028","[Seventh Ring of the Tirisfalen]")</f>
        <v>[Seventh Ring of the Tirisfalen]</v>
      </c>
      <c r="E34">
        <v>30028</v>
      </c>
      <c r="F34" t="s">
        <v>179</v>
      </c>
      <c r="G34" t="s">
        <v>22</v>
      </c>
      <c r="H34">
        <v>1</v>
      </c>
      <c r="I34" t="s">
        <v>28</v>
      </c>
      <c r="J34" t="s">
        <v>35</v>
      </c>
      <c r="K34" t="s">
        <v>36</v>
      </c>
      <c r="L34" t="str">
        <f>HYPERLINK("https://tbc.wowhead.com/item=29279","[Violet Signet of the Great Protector]")</f>
        <v>[Violet Signet of the Great Protector]</v>
      </c>
      <c r="M34" t="str">
        <f>HYPERLINK("https://tbc.wowhead.com/item=29384","[Ring of Unyielding Force]")</f>
        <v>[Ring of Unyielding Force]</v>
      </c>
      <c r="N34">
        <v>1</v>
      </c>
      <c r="O34" t="b">
        <v>0</v>
      </c>
      <c r="P34" t="s">
        <v>25</v>
      </c>
      <c r="Q34" t="s">
        <v>62</v>
      </c>
      <c r="R34" t="s">
        <v>87</v>
      </c>
      <c r="T34" t="s">
        <v>50</v>
      </c>
      <c r="U34" s="4">
        <f t="shared" ref="U34:U65" si="1">IF(B34="","",B34)</f>
        <v>46161</v>
      </c>
    </row>
    <row r="35" spans="1:21" x14ac:dyDescent="0.25">
      <c r="A35" t="s">
        <v>183</v>
      </c>
      <c r="B35" s="1">
        <v>46161</v>
      </c>
      <c r="C35" s="2">
        <v>0.90208333333333335</v>
      </c>
      <c r="D35" t="str">
        <f>HYPERLINK("https://tbc.wowhead.com/item=29924","[Netherbane]")</f>
        <v>[Netherbane]</v>
      </c>
      <c r="E35">
        <v>29924</v>
      </c>
      <c r="F35" t="s">
        <v>184</v>
      </c>
      <c r="G35" t="s">
        <v>54</v>
      </c>
      <c r="H35">
        <v>2</v>
      </c>
      <c r="I35" t="s">
        <v>81</v>
      </c>
      <c r="J35" t="s">
        <v>35</v>
      </c>
      <c r="K35" t="s">
        <v>36</v>
      </c>
      <c r="L35" t="str">
        <f>HYPERLINK("https://tbc.wowhead.com/item=28438","[Dragonmaw]")</f>
        <v>[Dragonmaw]</v>
      </c>
      <c r="M35" t="str">
        <f>HYPERLINK("https://tbc.wowhead.com/item=23542","[Fel Edged Battleaxe]")</f>
        <v>[Fel Edged Battleaxe]</v>
      </c>
      <c r="N35">
        <v>2</v>
      </c>
      <c r="O35" t="b">
        <v>0</v>
      </c>
      <c r="P35" t="s">
        <v>25</v>
      </c>
      <c r="Q35" t="s">
        <v>185</v>
      </c>
      <c r="R35" t="s">
        <v>114</v>
      </c>
      <c r="T35" t="s">
        <v>50</v>
      </c>
      <c r="U35" s="4">
        <f t="shared" si="1"/>
        <v>46161</v>
      </c>
    </row>
    <row r="36" spans="1:21" x14ac:dyDescent="0.25">
      <c r="A36" t="s">
        <v>183</v>
      </c>
      <c r="B36" s="1">
        <v>46161</v>
      </c>
      <c r="C36" s="2">
        <v>0.93055555555555558</v>
      </c>
      <c r="D36" t="str">
        <f>HYPERLINK("https://tbc.wowhead.com/item=29950","[Greaves of the Bloodwarder]")</f>
        <v>[Greaves of the Bloodwarder]</v>
      </c>
      <c r="E36">
        <v>29950</v>
      </c>
      <c r="F36" t="s">
        <v>186</v>
      </c>
      <c r="G36" t="s">
        <v>54</v>
      </c>
      <c r="H36">
        <v>0</v>
      </c>
      <c r="I36" t="s">
        <v>81</v>
      </c>
      <c r="J36" t="s">
        <v>35</v>
      </c>
      <c r="K36" t="s">
        <v>36</v>
      </c>
      <c r="L36" t="str">
        <f>HYPERLINK("https://tbc.wowhead.com/item=29022","[Warbringer Greaves]")</f>
        <v>[Warbringer Greaves]</v>
      </c>
      <c r="N36">
        <v>2</v>
      </c>
      <c r="O36" t="b">
        <v>0</v>
      </c>
      <c r="P36" t="s">
        <v>25</v>
      </c>
      <c r="Q36" t="s">
        <v>30</v>
      </c>
      <c r="R36" t="s">
        <v>172</v>
      </c>
      <c r="T36" t="s">
        <v>50</v>
      </c>
      <c r="U36" s="4">
        <f t="shared" si="1"/>
        <v>46161</v>
      </c>
    </row>
    <row r="37" spans="1:21" x14ac:dyDescent="0.25">
      <c r="A37" t="s">
        <v>183</v>
      </c>
      <c r="B37" s="1">
        <v>46161</v>
      </c>
      <c r="C37" s="2">
        <v>0.93125000000000002</v>
      </c>
      <c r="D37" t="str">
        <f>HYPERLINK("https://tbc.wowhead.com/item=30322","[Plans: Red Belt of Battle]")</f>
        <v>[Plans: Red Belt of Battle]</v>
      </c>
      <c r="E37">
        <v>30322</v>
      </c>
      <c r="F37" t="s">
        <v>187</v>
      </c>
      <c r="G37" t="s">
        <v>54</v>
      </c>
      <c r="H37">
        <v>1</v>
      </c>
      <c r="I37" t="s">
        <v>81</v>
      </c>
      <c r="J37" t="s">
        <v>35</v>
      </c>
      <c r="K37" t="s">
        <v>36</v>
      </c>
      <c r="N37">
        <v>2</v>
      </c>
      <c r="O37" t="b">
        <v>0</v>
      </c>
      <c r="P37" t="s">
        <v>25</v>
      </c>
      <c r="Q37" t="s">
        <v>188</v>
      </c>
      <c r="T37" t="s">
        <v>50</v>
      </c>
      <c r="U37" s="4">
        <f t="shared" si="1"/>
        <v>46161</v>
      </c>
    </row>
    <row r="38" spans="1:21" x14ac:dyDescent="0.25">
      <c r="A38" t="s">
        <v>56</v>
      </c>
      <c r="B38" s="1">
        <v>46161</v>
      </c>
      <c r="C38" s="2">
        <v>0.92986111111111114</v>
      </c>
      <c r="D38" t="str">
        <f>HYPERLINK("https://tbc.wowhead.com/item=30250","[Pauldrons of the Vanquished Hero]")</f>
        <v>[Pauldrons of the Vanquished Hero]</v>
      </c>
      <c r="E38">
        <v>30250</v>
      </c>
      <c r="F38" t="s">
        <v>101</v>
      </c>
      <c r="G38" t="s">
        <v>22</v>
      </c>
      <c r="H38">
        <v>2</v>
      </c>
      <c r="I38" t="s">
        <v>57</v>
      </c>
      <c r="J38" t="s">
        <v>35</v>
      </c>
      <c r="K38" t="s">
        <v>36</v>
      </c>
      <c r="L38" t="str">
        <f>HYPERLINK("https://tbc.wowhead.com/item=29079","[Pauldrons of the Aldor]")</f>
        <v>[Pauldrons of the Aldor]</v>
      </c>
      <c r="N38">
        <v>1</v>
      </c>
      <c r="O38" t="b">
        <v>0</v>
      </c>
      <c r="P38" t="s">
        <v>25</v>
      </c>
      <c r="Q38" t="s">
        <v>26</v>
      </c>
      <c r="T38" t="s">
        <v>50</v>
      </c>
      <c r="U38" s="4">
        <f t="shared" si="1"/>
        <v>46161</v>
      </c>
    </row>
    <row r="39" spans="1:21" x14ac:dyDescent="0.25">
      <c r="A39" t="s">
        <v>71</v>
      </c>
      <c r="B39" s="1">
        <v>46161</v>
      </c>
      <c r="C39" s="2">
        <v>0.90069444444444446</v>
      </c>
      <c r="D39" t="str">
        <f>HYPERLINK("https://tbc.wowhead.com/item=30029","[Bark-Gloves of Ancient Wisdom]")</f>
        <v>[Bark-Gloves of Ancient Wisdom]</v>
      </c>
      <c r="E39">
        <v>30029</v>
      </c>
      <c r="F39" t="s">
        <v>33</v>
      </c>
      <c r="G39" t="s">
        <v>44</v>
      </c>
      <c r="H39">
        <v>0</v>
      </c>
      <c r="I39" t="s">
        <v>51</v>
      </c>
      <c r="J39" t="s">
        <v>35</v>
      </c>
      <c r="K39" t="s">
        <v>36</v>
      </c>
      <c r="L39" t="str">
        <f>HYPERLINK("https://tbc.wowhead.com/item=28521","[Mitts of the Treemender]")</f>
        <v>[Mitts of the Treemender]</v>
      </c>
      <c r="N39">
        <v>4</v>
      </c>
      <c r="O39" t="b">
        <v>0</v>
      </c>
      <c r="P39" t="s">
        <v>25</v>
      </c>
      <c r="Q39" t="s">
        <v>37</v>
      </c>
      <c r="R39" t="s">
        <v>38</v>
      </c>
      <c r="T39" t="s">
        <v>50</v>
      </c>
      <c r="U39" s="4">
        <f t="shared" si="1"/>
        <v>46161</v>
      </c>
    </row>
    <row r="40" spans="1:21" x14ac:dyDescent="0.25">
      <c r="A40" t="s">
        <v>71</v>
      </c>
      <c r="B40" s="1">
        <v>46161</v>
      </c>
      <c r="C40" s="2">
        <v>0.92986111111111114</v>
      </c>
      <c r="D40" t="str">
        <f>HYPERLINK("https://tbc.wowhead.com/item=30249","[Pauldrons of the Vanquished Defender]")</f>
        <v>[Pauldrons of the Vanquished Defender]</v>
      </c>
      <c r="E40">
        <v>30249</v>
      </c>
      <c r="F40" t="s">
        <v>78</v>
      </c>
      <c r="G40" t="s">
        <v>22</v>
      </c>
      <c r="H40">
        <v>0</v>
      </c>
      <c r="I40" t="s">
        <v>51</v>
      </c>
      <c r="J40" t="s">
        <v>35</v>
      </c>
      <c r="K40" t="s">
        <v>36</v>
      </c>
      <c r="L40" t="str">
        <f>HYPERLINK("https://tbc.wowhead.com/item=29089","[Shoulderguards of Malorne]")</f>
        <v>[Shoulderguards of Malorne]</v>
      </c>
      <c r="N40">
        <v>1</v>
      </c>
      <c r="O40" t="b">
        <v>0</v>
      </c>
      <c r="P40" t="s">
        <v>25</v>
      </c>
      <c r="Q40" t="s">
        <v>26</v>
      </c>
      <c r="T40" t="s">
        <v>50</v>
      </c>
      <c r="U40" s="4">
        <f t="shared" si="1"/>
        <v>46161</v>
      </c>
    </row>
    <row r="41" spans="1:21" x14ac:dyDescent="0.25">
      <c r="A41" t="s">
        <v>132</v>
      </c>
      <c r="B41" s="1">
        <v>46161</v>
      </c>
      <c r="C41" s="2">
        <v>0.93125000000000002</v>
      </c>
      <c r="D41" t="str">
        <f>HYPERLINK("https://tbc.wowhead.com/item=30449","[Void Star Talisman]")</f>
        <v>[Void Star Talisman]</v>
      </c>
      <c r="E41">
        <v>30449</v>
      </c>
      <c r="F41" t="s">
        <v>191</v>
      </c>
      <c r="G41" t="s">
        <v>44</v>
      </c>
      <c r="H41">
        <v>2</v>
      </c>
      <c r="I41" t="s">
        <v>23</v>
      </c>
      <c r="J41" t="s">
        <v>35</v>
      </c>
      <c r="K41" t="s">
        <v>36</v>
      </c>
      <c r="L41" t="str">
        <f>HYPERLINK("https://tbc.wowhead.com/item=29132","[Scryer's Bloodgem]")</f>
        <v>[Scryer's Bloodgem]</v>
      </c>
      <c r="M41" t="str">
        <f>HYPERLINK("https://tbc.wowhead.com/item=27683","[Quagmirran's Eye]")</f>
        <v>[Quagmirran's Eye]</v>
      </c>
      <c r="N41">
        <v>4</v>
      </c>
      <c r="O41" t="b">
        <v>0</v>
      </c>
      <c r="P41" t="s">
        <v>25</v>
      </c>
      <c r="Q41" t="s">
        <v>62</v>
      </c>
      <c r="R41" t="s">
        <v>63</v>
      </c>
      <c r="T41" t="s">
        <v>50</v>
      </c>
      <c r="U41" s="4">
        <f t="shared" si="1"/>
        <v>46161</v>
      </c>
    </row>
    <row r="42" spans="1:21" x14ac:dyDescent="0.25">
      <c r="A42" t="s">
        <v>79</v>
      </c>
      <c r="B42" s="1">
        <v>46163</v>
      </c>
      <c r="C42" s="2">
        <v>0.87638888888888888</v>
      </c>
      <c r="D42" t="str">
        <f>HYPERLINK("https://tbc.wowhead.com/item=30055","[Schulterpolster des Fremden]")</f>
        <v>[Schulterpolster des Fremden]</v>
      </c>
      <c r="E42">
        <v>30055</v>
      </c>
      <c r="F42" t="s">
        <v>80</v>
      </c>
      <c r="G42" t="s">
        <v>22</v>
      </c>
      <c r="H42">
        <v>4</v>
      </c>
      <c r="I42" t="s">
        <v>81</v>
      </c>
      <c r="J42" t="s">
        <v>162</v>
      </c>
      <c r="K42" t="s">
        <v>29</v>
      </c>
      <c r="L42" t="str">
        <f>HYPERLINK("https://tbc.wowhead.com/item=29023","[Schulterplatten des Kriegshetzers]")</f>
        <v>[Schulterplatten des Kriegshetzers]</v>
      </c>
      <c r="N42">
        <v>1</v>
      </c>
      <c r="O42" t="b">
        <v>0</v>
      </c>
      <c r="P42" t="s">
        <v>25</v>
      </c>
      <c r="Q42" t="s">
        <v>37</v>
      </c>
      <c r="R42" t="s">
        <v>31</v>
      </c>
      <c r="T42" t="s">
        <v>135</v>
      </c>
      <c r="U42" s="4">
        <f t="shared" si="1"/>
        <v>46163</v>
      </c>
    </row>
    <row r="43" spans="1:21" x14ac:dyDescent="0.25">
      <c r="A43" t="s">
        <v>79</v>
      </c>
      <c r="B43" s="1">
        <v>46163</v>
      </c>
      <c r="C43" s="2">
        <v>0.89236111111111116</v>
      </c>
      <c r="D43" t="str">
        <f>HYPERLINK("https://tbc.wowhead.com/item=30246","[Gamaschen des bezwungenen Verteidigers]")</f>
        <v>[Gamaschen des bezwungenen Verteidigers]</v>
      </c>
      <c r="E43">
        <v>30246</v>
      </c>
      <c r="F43" t="s">
        <v>66</v>
      </c>
      <c r="G43" t="s">
        <v>22</v>
      </c>
      <c r="H43">
        <v>3</v>
      </c>
      <c r="I43" t="s">
        <v>81</v>
      </c>
      <c r="J43" t="s">
        <v>162</v>
      </c>
      <c r="K43" t="s">
        <v>29</v>
      </c>
      <c r="L43" t="str">
        <f>HYPERLINK("https://tbc.wowhead.com/item=29022","[Schienbeinschützer des Kriegshetzers]")</f>
        <v>[Schienbeinschützer des Kriegshetzers]</v>
      </c>
      <c r="N43">
        <v>1</v>
      </c>
      <c r="O43" t="b">
        <v>0</v>
      </c>
      <c r="P43" t="s">
        <v>25</v>
      </c>
      <c r="Q43" t="s">
        <v>26</v>
      </c>
      <c r="T43" t="s">
        <v>135</v>
      </c>
      <c r="U43" s="4">
        <f t="shared" si="1"/>
        <v>46163</v>
      </c>
    </row>
    <row r="44" spans="1:21" x14ac:dyDescent="0.25">
      <c r="A44" t="s">
        <v>65</v>
      </c>
      <c r="B44" s="1">
        <v>46163</v>
      </c>
      <c r="C44" s="2">
        <v>0.89236111111111116</v>
      </c>
      <c r="D44" t="str">
        <f>HYPERLINK("https://tbc.wowhead.com/item=30246","[Gamaschen des bezwungenen Verteidigers]")</f>
        <v>[Gamaschen des bezwungenen Verteidigers]</v>
      </c>
      <c r="E44">
        <v>30246</v>
      </c>
      <c r="F44" t="s">
        <v>66</v>
      </c>
      <c r="G44" t="s">
        <v>22</v>
      </c>
      <c r="H44">
        <v>4</v>
      </c>
      <c r="I44" t="s">
        <v>67</v>
      </c>
      <c r="J44" t="s">
        <v>162</v>
      </c>
      <c r="K44" t="s">
        <v>29</v>
      </c>
      <c r="L44" t="str">
        <f>HYPERLINK("https://tbc.wowhead.com/item=24359","[Fürstliche Herrschaftgamaschen]")</f>
        <v>[Fürstliche Herrschaftgamaschen]</v>
      </c>
      <c r="N44">
        <v>1</v>
      </c>
      <c r="O44" t="b">
        <v>0</v>
      </c>
      <c r="P44" t="s">
        <v>25</v>
      </c>
      <c r="Q44" t="s">
        <v>26</v>
      </c>
      <c r="T44" t="s">
        <v>135</v>
      </c>
      <c r="U44" s="4">
        <f t="shared" si="1"/>
        <v>46163</v>
      </c>
    </row>
    <row r="45" spans="1:21" x14ac:dyDescent="0.25">
      <c r="A45" t="s">
        <v>135</v>
      </c>
      <c r="B45" s="1">
        <v>46163</v>
      </c>
      <c r="C45" s="2">
        <v>0.88055555555555554</v>
      </c>
      <c r="D45" t="str">
        <f>HYPERLINK("https://tbc.wowhead.com/item=30240","[Handschuhe des bezwungenen Verteidigers]")</f>
        <v>[Handschuhe des bezwungenen Verteidigers]</v>
      </c>
      <c r="E45">
        <v>30240</v>
      </c>
      <c r="F45" t="s">
        <v>109</v>
      </c>
      <c r="G45" t="s">
        <v>22</v>
      </c>
      <c r="H45">
        <v>4</v>
      </c>
      <c r="I45" t="s">
        <v>51</v>
      </c>
      <c r="J45" t="s">
        <v>162</v>
      </c>
      <c r="K45" t="s">
        <v>29</v>
      </c>
      <c r="L45" t="str">
        <f>HYPERLINK("https://tbc.wowhead.com/item=28506","[Handschuhe der geschickten Manipulation]")</f>
        <v>[Handschuhe der geschickten Manipulation]</v>
      </c>
      <c r="N45">
        <v>1</v>
      </c>
      <c r="O45" t="b">
        <v>0</v>
      </c>
      <c r="P45" t="s">
        <v>25</v>
      </c>
      <c r="Q45" t="s">
        <v>26</v>
      </c>
      <c r="T45" t="s">
        <v>135</v>
      </c>
      <c r="U45" s="4">
        <f t="shared" si="1"/>
        <v>46163</v>
      </c>
    </row>
    <row r="46" spans="1:21" x14ac:dyDescent="0.25">
      <c r="A46" t="s">
        <v>115</v>
      </c>
      <c r="B46" s="1">
        <v>46163</v>
      </c>
      <c r="C46" s="2">
        <v>0.87916666666666665</v>
      </c>
      <c r="D46" t="str">
        <f>HYPERLINK("https://tbc.wowhead.com/item=30099","[Ausgefranster Strick des Ertrunkenen]")</f>
        <v>[Ausgefranster Strick des Ertrunkenen]</v>
      </c>
      <c r="E46">
        <v>30099</v>
      </c>
      <c r="F46" t="s">
        <v>123</v>
      </c>
      <c r="G46" t="s">
        <v>44</v>
      </c>
      <c r="H46">
        <v>0</v>
      </c>
      <c r="I46" t="s">
        <v>81</v>
      </c>
      <c r="J46" t="s">
        <v>162</v>
      </c>
      <c r="K46" t="s">
        <v>29</v>
      </c>
      <c r="L46" t="str">
        <f>HYPERLINK("https://tbc.wowhead.com/item=30022","[Anhänger des Gefahrvollen]")</f>
        <v>[Anhänger des Gefahrvollen]</v>
      </c>
      <c r="N46">
        <v>4</v>
      </c>
      <c r="O46" t="b">
        <v>0</v>
      </c>
      <c r="P46" t="s">
        <v>25</v>
      </c>
      <c r="Q46" t="s">
        <v>62</v>
      </c>
      <c r="R46" t="s">
        <v>76</v>
      </c>
      <c r="T46" t="s">
        <v>135</v>
      </c>
      <c r="U46" s="4">
        <f t="shared" si="1"/>
        <v>46163</v>
      </c>
    </row>
    <row r="47" spans="1:21" x14ac:dyDescent="0.25">
      <c r="A47" t="s">
        <v>115</v>
      </c>
      <c r="B47" s="1">
        <v>46163</v>
      </c>
      <c r="C47" s="2">
        <v>0.88055555555555554</v>
      </c>
      <c r="D47" t="str">
        <f>HYPERLINK("https://tbc.wowhead.com/item=30096","[Gurt des Unverwundbaren]")</f>
        <v>[Gurt des Unverwundbaren]</v>
      </c>
      <c r="E47">
        <v>30096</v>
      </c>
      <c r="F47" t="s">
        <v>124</v>
      </c>
      <c r="G47" t="s">
        <v>44</v>
      </c>
      <c r="H47">
        <v>4</v>
      </c>
      <c r="I47" t="s">
        <v>81</v>
      </c>
      <c r="J47" t="s">
        <v>162</v>
      </c>
      <c r="K47" t="s">
        <v>29</v>
      </c>
      <c r="L47" t="str">
        <f>HYPERLINK("https://tbc.wowhead.com/item=28385","[Plattengürtel des Kriegsherren]")</f>
        <v>[Plattengürtel des Kriegsherren]</v>
      </c>
      <c r="N47">
        <v>4</v>
      </c>
      <c r="O47" t="b">
        <v>0</v>
      </c>
      <c r="P47" t="s">
        <v>25</v>
      </c>
      <c r="Q47" t="s">
        <v>30</v>
      </c>
      <c r="R47" t="s">
        <v>55</v>
      </c>
      <c r="T47" t="s">
        <v>135</v>
      </c>
      <c r="U47" s="4">
        <f t="shared" si="1"/>
        <v>46163</v>
      </c>
    </row>
    <row r="48" spans="1:21" x14ac:dyDescent="0.25">
      <c r="A48" t="s">
        <v>136</v>
      </c>
      <c r="B48" s="1">
        <v>46163</v>
      </c>
      <c r="C48" s="2">
        <v>0.87986111111111109</v>
      </c>
      <c r="D48" t="str">
        <f>HYPERLINK("https://tbc.wowhead.com/item=30239","[Handschuhe des bezwungenen Champions]")</f>
        <v>[Handschuhe des bezwungenen Champions]</v>
      </c>
      <c r="E48">
        <v>30239</v>
      </c>
      <c r="F48" t="s">
        <v>103</v>
      </c>
      <c r="G48" t="s">
        <v>22</v>
      </c>
      <c r="H48">
        <v>5</v>
      </c>
      <c r="I48" t="s">
        <v>41</v>
      </c>
      <c r="J48" t="s">
        <v>162</v>
      </c>
      <c r="K48" t="s">
        <v>29</v>
      </c>
      <c r="L48" t="str">
        <f>HYPERLINK("https://tbc.wowhead.com/item=28507","[Handlappen des Gedankenflusses]")</f>
        <v>[Handlappen des Gedankenflusses]</v>
      </c>
      <c r="N48">
        <v>1</v>
      </c>
      <c r="O48" t="b">
        <v>0</v>
      </c>
      <c r="P48" t="s">
        <v>25</v>
      </c>
      <c r="Q48" t="s">
        <v>26</v>
      </c>
      <c r="T48" t="s">
        <v>135</v>
      </c>
      <c r="U48" s="4">
        <f t="shared" si="1"/>
        <v>46163</v>
      </c>
    </row>
    <row r="49" spans="1:21" x14ac:dyDescent="0.25">
      <c r="A49" t="s">
        <v>91</v>
      </c>
      <c r="B49" s="1">
        <v>46163</v>
      </c>
      <c r="C49" s="2">
        <v>0.89444444444444449</v>
      </c>
      <c r="D49" t="str">
        <f>HYPERLINK("https://tbc.wowhead.com/item=30079","[Schulterpolster der Illidari]")</f>
        <v>[Schulterpolster der Illidari]</v>
      </c>
      <c r="E49">
        <v>30079</v>
      </c>
      <c r="F49" t="s">
        <v>93</v>
      </c>
      <c r="G49" t="s">
        <v>177</v>
      </c>
      <c r="H49">
        <v>0</v>
      </c>
      <c r="I49" t="s">
        <v>51</v>
      </c>
      <c r="J49" t="s">
        <v>162</v>
      </c>
      <c r="K49" t="s">
        <v>29</v>
      </c>
      <c r="L49" t="str">
        <f>HYPERLINK("https://tbc.wowhead.com/item=29095","[Malornes Schulterstücke]")</f>
        <v>[Malornes Schulterstücke]</v>
      </c>
      <c r="N49" t="s">
        <v>94</v>
      </c>
      <c r="O49" t="b">
        <v>0</v>
      </c>
      <c r="P49" t="s">
        <v>25</v>
      </c>
      <c r="Q49" t="s">
        <v>60</v>
      </c>
      <c r="R49" t="s">
        <v>31</v>
      </c>
      <c r="T49" t="s">
        <v>135</v>
      </c>
      <c r="U49" s="4">
        <f t="shared" si="1"/>
        <v>46163</v>
      </c>
    </row>
    <row r="50" spans="1:21" x14ac:dyDescent="0.25">
      <c r="A50" t="s">
        <v>104</v>
      </c>
      <c r="B50" s="1">
        <v>46163</v>
      </c>
      <c r="C50" s="2">
        <v>0.87708333333333333</v>
      </c>
      <c r="D50" t="str">
        <f>HYPERLINK("https://tbc.wowhead.com/item=33054","[Das Siegel von Danzalar]")</f>
        <v>[Das Siegel von Danzalar]</v>
      </c>
      <c r="E50">
        <v>33054</v>
      </c>
      <c r="F50" t="s">
        <v>106</v>
      </c>
      <c r="G50" t="s">
        <v>34</v>
      </c>
      <c r="H50">
        <v>1</v>
      </c>
      <c r="I50" t="s">
        <v>28</v>
      </c>
      <c r="J50" t="s">
        <v>162</v>
      </c>
      <c r="K50" t="s">
        <v>29</v>
      </c>
      <c r="L50" t="str">
        <f>HYPERLINK("https://tbc.wowhead.com/item=29126","[Siegel des Sehers]")</f>
        <v>[Siegel des Sehers]</v>
      </c>
      <c r="M50" t="str">
        <f>HYPERLINK("https://tbc.wowhead.com/item=29172","[Ashyens Gabe]")</f>
        <v>[Ashyens Gabe]</v>
      </c>
      <c r="N50">
        <v>3</v>
      </c>
      <c r="O50" t="b">
        <v>0</v>
      </c>
      <c r="P50" t="s">
        <v>25</v>
      </c>
      <c r="Q50" t="s">
        <v>62</v>
      </c>
      <c r="R50" t="s">
        <v>87</v>
      </c>
      <c r="T50" t="s">
        <v>135</v>
      </c>
      <c r="U50" s="4">
        <f t="shared" si="1"/>
        <v>46163</v>
      </c>
    </row>
    <row r="51" spans="1:21" x14ac:dyDescent="0.25">
      <c r="A51" t="s">
        <v>183</v>
      </c>
      <c r="B51" s="1">
        <v>46163</v>
      </c>
      <c r="C51" s="2">
        <v>0.89444444444444449</v>
      </c>
      <c r="D51" t="str">
        <f>HYPERLINK("https://tbc.wowhead.com/item=30082","[Kralle von Azshara]")</f>
        <v>[Kralle von Azshara]</v>
      </c>
      <c r="E51">
        <v>30082</v>
      </c>
      <c r="F51" t="s">
        <v>113</v>
      </c>
      <c r="G51" t="s">
        <v>22</v>
      </c>
      <c r="H51">
        <v>0</v>
      </c>
      <c r="I51" t="s">
        <v>81</v>
      </c>
      <c r="J51" t="s">
        <v>162</v>
      </c>
      <c r="K51" t="s">
        <v>29</v>
      </c>
      <c r="L51" t="str">
        <f>HYPERLINK("https://tbc.wowhead.com/item=28438","[Drachenmal]")</f>
        <v>[Drachenmal]</v>
      </c>
      <c r="M51" t="str">
        <f>HYPERLINK("https://tbc.wowhead.com/item=29924","[Netherbann]")</f>
        <v>[Netherbann]</v>
      </c>
      <c r="N51">
        <v>1</v>
      </c>
      <c r="O51" t="b">
        <v>0</v>
      </c>
      <c r="P51" t="s">
        <v>25</v>
      </c>
      <c r="Q51" t="s">
        <v>58</v>
      </c>
      <c r="R51" t="s">
        <v>114</v>
      </c>
      <c r="T51" t="s">
        <v>135</v>
      </c>
      <c r="U51" s="4">
        <f t="shared" si="1"/>
        <v>46163</v>
      </c>
    </row>
    <row r="52" spans="1:21" x14ac:dyDescent="0.25">
      <c r="A52" t="s">
        <v>56</v>
      </c>
      <c r="B52" s="1">
        <v>46163</v>
      </c>
      <c r="C52" s="2">
        <v>0.87986111111111109</v>
      </c>
      <c r="D52" t="str">
        <f>HYPERLINK("https://tbc.wowhead.com/item=30241","[Handschuhe des bezwungenen Helden]")</f>
        <v>[Handschuhe des bezwungenen Helden]</v>
      </c>
      <c r="E52">
        <v>30241</v>
      </c>
      <c r="F52" t="s">
        <v>64</v>
      </c>
      <c r="G52" t="s">
        <v>22</v>
      </c>
      <c r="H52">
        <v>5</v>
      </c>
      <c r="I52" t="s">
        <v>57</v>
      </c>
      <c r="J52" t="s">
        <v>162</v>
      </c>
      <c r="K52" t="s">
        <v>29</v>
      </c>
      <c r="L52" t="str">
        <f>HYPERLINK("https://tbc.wowhead.com/item=29080","[Handschuhe der Aldor]")</f>
        <v>[Handschuhe der Aldor]</v>
      </c>
      <c r="N52">
        <v>1</v>
      </c>
      <c r="O52" t="b">
        <v>0</v>
      </c>
      <c r="P52" t="s">
        <v>25</v>
      </c>
      <c r="Q52" t="s">
        <v>26</v>
      </c>
      <c r="T52" t="s">
        <v>135</v>
      </c>
      <c r="U52" s="4">
        <f t="shared" si="1"/>
        <v>46163</v>
      </c>
    </row>
    <row r="53" spans="1:21" x14ac:dyDescent="0.25">
      <c r="A53" t="s">
        <v>71</v>
      </c>
      <c r="B53" s="1">
        <v>46163</v>
      </c>
      <c r="C53" s="2">
        <v>0.87708333333333333</v>
      </c>
      <c r="D53" t="str">
        <f>HYPERLINK("https://tbc.wowhead.com/item=32516","[Wickeltücher der Läuterung]")</f>
        <v>[Wickeltücher der Läuterung]</v>
      </c>
      <c r="E53">
        <v>32516</v>
      </c>
      <c r="F53" t="s">
        <v>72</v>
      </c>
      <c r="G53" t="s">
        <v>34</v>
      </c>
      <c r="H53">
        <v>3</v>
      </c>
      <c r="I53" t="s">
        <v>51</v>
      </c>
      <c r="J53" t="s">
        <v>162</v>
      </c>
      <c r="K53" t="s">
        <v>29</v>
      </c>
      <c r="L53" t="str">
        <f>HYPERLINK("https://tbc.wowhead.com/item=28511","[Bänder des Innewohnens]")</f>
        <v>[Bänder des Innewohnens]</v>
      </c>
      <c r="N53">
        <v>3</v>
      </c>
      <c r="O53" t="b">
        <v>0</v>
      </c>
      <c r="P53" t="s">
        <v>25</v>
      </c>
      <c r="Q53" t="s">
        <v>60</v>
      </c>
      <c r="R53" t="s">
        <v>73</v>
      </c>
      <c r="T53" t="s">
        <v>135</v>
      </c>
      <c r="U53" s="4">
        <f t="shared" si="1"/>
        <v>46163</v>
      </c>
    </row>
    <row r="54" spans="1:21" x14ac:dyDescent="0.25">
      <c r="A54" t="s">
        <v>132</v>
      </c>
      <c r="B54" s="1">
        <v>46163</v>
      </c>
      <c r="C54" s="2">
        <v>0.88194444444444442</v>
      </c>
      <c r="D54" t="str">
        <f>HYPERLINK("https://tbc.wowhead.com/item=30247","[Gamaschen des bezwungenen Helden]")</f>
        <v>[Gamaschen des bezwungenen Helden]</v>
      </c>
      <c r="E54">
        <v>30247</v>
      </c>
      <c r="F54" t="s">
        <v>134</v>
      </c>
      <c r="G54" t="s">
        <v>22</v>
      </c>
      <c r="H54">
        <v>2</v>
      </c>
      <c r="I54" t="s">
        <v>23</v>
      </c>
      <c r="J54" t="s">
        <v>162</v>
      </c>
      <c r="K54" t="s">
        <v>29</v>
      </c>
      <c r="L54" t="str">
        <f>HYPERLINK("https://tbc.wowhead.com/item=24262","[Hose des Zauberschlags]")</f>
        <v>[Hose des Zauberschlags]</v>
      </c>
      <c r="N54">
        <v>1</v>
      </c>
      <c r="O54" t="b">
        <v>0</v>
      </c>
      <c r="P54" t="s">
        <v>25</v>
      </c>
      <c r="Q54" t="s">
        <v>26</v>
      </c>
      <c r="T54" t="s">
        <v>135</v>
      </c>
      <c r="U54" s="4">
        <f t="shared" si="1"/>
        <v>46163</v>
      </c>
    </row>
    <row r="55" spans="1:21" x14ac:dyDescent="0.25">
      <c r="A55" t="s">
        <v>130</v>
      </c>
      <c r="B55" s="1">
        <v>46163</v>
      </c>
      <c r="C55" s="2">
        <v>0.87708333333333333</v>
      </c>
      <c r="D55" t="str">
        <f>HYPERLINK("https://tbc.wowhead.com/item=30060","[Stiefel des mühelosen Kampfes]")</f>
        <v>[Stiefel des mühelosen Kampfes]</v>
      </c>
      <c r="E55">
        <v>30060</v>
      </c>
      <c r="F55" t="s">
        <v>131</v>
      </c>
      <c r="G55" t="s">
        <v>34</v>
      </c>
      <c r="H55">
        <v>1</v>
      </c>
      <c r="I55" t="s">
        <v>41</v>
      </c>
      <c r="J55" t="s">
        <v>162</v>
      </c>
      <c r="K55" t="s">
        <v>29</v>
      </c>
      <c r="L55" t="str">
        <f>HYPERLINK("https://tbc.wowhead.com/item=30674","[Zierhuts verschwundene Treter]")</f>
        <v>[Zierhuts verschwundene Treter]</v>
      </c>
      <c r="N55">
        <v>3</v>
      </c>
      <c r="O55" t="b">
        <v>0</v>
      </c>
      <c r="P55" t="s">
        <v>25</v>
      </c>
      <c r="Q55" t="s">
        <v>37</v>
      </c>
      <c r="R55" t="s">
        <v>112</v>
      </c>
      <c r="T55" t="s">
        <v>135</v>
      </c>
      <c r="U55" s="4">
        <f t="shared" si="1"/>
        <v>46163</v>
      </c>
    </row>
    <row r="56" spans="1:21" x14ac:dyDescent="0.25">
      <c r="A56" t="s">
        <v>192</v>
      </c>
      <c r="B56" s="1">
        <v>46163</v>
      </c>
      <c r="C56" s="2">
        <v>0.89444444444444449</v>
      </c>
      <c r="D56" t="str">
        <f>HYPERLINK("https://tbc.wowhead.com/item=30084","[Schulterstücke der Argentumschildwache]")</f>
        <v>[Schulterstücke der Argentumschildwache]</v>
      </c>
      <c r="E56">
        <v>30084</v>
      </c>
      <c r="F56" t="s">
        <v>27</v>
      </c>
      <c r="G56" t="s">
        <v>22</v>
      </c>
      <c r="H56">
        <v>1</v>
      </c>
      <c r="I56" t="s">
        <v>28</v>
      </c>
      <c r="J56" t="s">
        <v>162</v>
      </c>
      <c r="K56" t="s">
        <v>29</v>
      </c>
      <c r="L56" t="str">
        <f>HYPERLINK("https://tbc.wowhead.com/item=27775","[Geheiligte Schulterstücke]")</f>
        <v>[Geheiligte Schulterstücke]</v>
      </c>
      <c r="N56">
        <v>1</v>
      </c>
      <c r="O56" t="b">
        <v>0</v>
      </c>
      <c r="P56" t="s">
        <v>25</v>
      </c>
      <c r="Q56" t="s">
        <v>30</v>
      </c>
      <c r="R56" t="s">
        <v>31</v>
      </c>
      <c r="S56" t="s">
        <v>32</v>
      </c>
      <c r="T56" t="s">
        <v>135</v>
      </c>
      <c r="U56" s="4">
        <f t="shared" si="1"/>
        <v>46163</v>
      </c>
    </row>
    <row r="57" spans="1:21" x14ac:dyDescent="0.25">
      <c r="A57" t="s">
        <v>65</v>
      </c>
      <c r="B57" s="1">
        <v>46167</v>
      </c>
      <c r="C57" s="2">
        <v>0.89236111111111116</v>
      </c>
      <c r="D57" t="str">
        <f>HYPERLINK("https://tbc.wowhead.com/item=29992","[Royal Cloak of the Sunstriders]")</f>
        <v>[Royal Cloak of the Sunstriders]</v>
      </c>
      <c r="E57">
        <v>29992</v>
      </c>
      <c r="F57" t="s">
        <v>68</v>
      </c>
      <c r="G57" t="s">
        <v>22</v>
      </c>
      <c r="H57">
        <v>5</v>
      </c>
      <c r="I57" t="s">
        <v>67</v>
      </c>
      <c r="J57" t="s">
        <v>35</v>
      </c>
      <c r="K57" t="s">
        <v>36</v>
      </c>
      <c r="L57" t="str">
        <f>HYPERLINK("https://tbc.wowhead.com/item=25039","[Farseer Cloak of Shadow Wrath]")</f>
        <v>[Farseer Cloak of Shadow Wrath]</v>
      </c>
      <c r="N57">
        <v>1</v>
      </c>
      <c r="O57" t="b">
        <v>0</v>
      </c>
      <c r="P57" t="s">
        <v>25</v>
      </c>
      <c r="Q57" t="s">
        <v>60</v>
      </c>
      <c r="R57" t="s">
        <v>69</v>
      </c>
      <c r="T57" t="s">
        <v>39</v>
      </c>
      <c r="U57" s="4">
        <f t="shared" si="1"/>
        <v>46167</v>
      </c>
    </row>
    <row r="58" spans="1:21" x14ac:dyDescent="0.25">
      <c r="A58" t="s">
        <v>50</v>
      </c>
      <c r="B58" s="1">
        <v>46167</v>
      </c>
      <c r="C58" s="2">
        <v>0.89583333333333337</v>
      </c>
      <c r="D58" t="str">
        <f>HYPERLINK("https://tbc.wowhead.com/item=29984","[Girdle of Zaetar]")</f>
        <v>[Girdle of Zaetar]</v>
      </c>
      <c r="E58">
        <v>29984</v>
      </c>
      <c r="F58" t="s">
        <v>53</v>
      </c>
      <c r="G58" t="s">
        <v>54</v>
      </c>
      <c r="H58">
        <v>2</v>
      </c>
      <c r="I58" t="s">
        <v>51</v>
      </c>
      <c r="J58" t="s">
        <v>35</v>
      </c>
      <c r="K58" t="s">
        <v>36</v>
      </c>
      <c r="L58" t="str">
        <f>HYPERLINK("https://tbc.wowhead.com/item=28652","[Cincture of Will]")</f>
        <v>[Cincture of Will]</v>
      </c>
      <c r="N58">
        <v>2</v>
      </c>
      <c r="O58" t="b">
        <v>0</v>
      </c>
      <c r="P58" t="s">
        <v>25</v>
      </c>
      <c r="Q58" t="s">
        <v>37</v>
      </c>
      <c r="R58" t="s">
        <v>55</v>
      </c>
      <c r="S58" t="s">
        <v>164</v>
      </c>
      <c r="T58" t="s">
        <v>39</v>
      </c>
      <c r="U58" s="4">
        <f t="shared" si="1"/>
        <v>46167</v>
      </c>
    </row>
    <row r="59" spans="1:21" x14ac:dyDescent="0.25">
      <c r="A59" t="s">
        <v>96</v>
      </c>
      <c r="B59" s="1">
        <v>46167</v>
      </c>
      <c r="C59" s="2">
        <v>0.89375000000000004</v>
      </c>
      <c r="D59" t="str">
        <f>HYPERLINK("https://tbc.wowhead.com/item=30238","[Chestguard of the Vanquished Hero]")</f>
        <v>[Chestguard of the Vanquished Hero]</v>
      </c>
      <c r="E59">
        <v>30238</v>
      </c>
      <c r="F59" t="s">
        <v>98</v>
      </c>
      <c r="G59" t="s">
        <v>22</v>
      </c>
      <c r="H59">
        <v>0</v>
      </c>
      <c r="I59" t="s">
        <v>97</v>
      </c>
      <c r="J59" t="s">
        <v>35</v>
      </c>
      <c r="K59" t="s">
        <v>36</v>
      </c>
      <c r="L59" t="str">
        <f>HYPERLINK("https://tbc.wowhead.com/item=28228","[Beast Lord Cuirass]")</f>
        <v>[Beast Lord Cuirass]</v>
      </c>
      <c r="N59">
        <v>1</v>
      </c>
      <c r="O59" t="b">
        <v>0</v>
      </c>
      <c r="P59" t="s">
        <v>25</v>
      </c>
      <c r="Q59" t="s">
        <v>26</v>
      </c>
      <c r="T59" t="s">
        <v>39</v>
      </c>
      <c r="U59" s="4">
        <f t="shared" si="1"/>
        <v>46167</v>
      </c>
    </row>
    <row r="60" spans="1:21" x14ac:dyDescent="0.25">
      <c r="A60" t="s">
        <v>96</v>
      </c>
      <c r="B60" s="1">
        <v>46167</v>
      </c>
      <c r="C60" s="2">
        <v>0.90069444444444446</v>
      </c>
      <c r="D60" t="str">
        <f>HYPERLINK("https://tbc.wowhead.com/item=29951","[Star-Strider Boots]")</f>
        <v>[Star-Strider Boots]</v>
      </c>
      <c r="E60">
        <v>29951</v>
      </c>
      <c r="F60" t="s">
        <v>168</v>
      </c>
      <c r="G60" t="s">
        <v>54</v>
      </c>
      <c r="H60">
        <v>0</v>
      </c>
      <c r="I60" t="s">
        <v>97</v>
      </c>
      <c r="J60" t="s">
        <v>35</v>
      </c>
      <c r="K60" t="s">
        <v>36</v>
      </c>
      <c r="L60" t="str">
        <f>HYPERLINK("https://tbc.wowhead.com/item=28545","[Edgewalker Longboots]")</f>
        <v>[Edgewalker Longboots]</v>
      </c>
      <c r="N60">
        <v>2</v>
      </c>
      <c r="O60" t="b">
        <v>0</v>
      </c>
      <c r="P60" t="s">
        <v>25</v>
      </c>
      <c r="Q60" t="s">
        <v>83</v>
      </c>
      <c r="R60" t="s">
        <v>112</v>
      </c>
      <c r="T60" t="s">
        <v>39</v>
      </c>
      <c r="U60" s="4">
        <f t="shared" si="1"/>
        <v>46167</v>
      </c>
    </row>
    <row r="61" spans="1:21" x14ac:dyDescent="0.25">
      <c r="A61" t="s">
        <v>169</v>
      </c>
      <c r="B61" s="1">
        <v>46167</v>
      </c>
      <c r="C61" s="2">
        <v>0.89513888888888893</v>
      </c>
      <c r="D61" t="str">
        <f>HYPERLINK("https://tbc.wowhead.com/item=29947","[Gloves of the Searing Grip]")</f>
        <v>[Gloves of the Searing Grip]</v>
      </c>
      <c r="E61">
        <v>29947</v>
      </c>
      <c r="F61" t="s">
        <v>90</v>
      </c>
      <c r="G61" t="s">
        <v>22</v>
      </c>
      <c r="H61">
        <v>3</v>
      </c>
      <c r="I61" t="s">
        <v>28</v>
      </c>
      <c r="J61" t="s">
        <v>35</v>
      </c>
      <c r="K61" t="s">
        <v>36</v>
      </c>
      <c r="L61" t="str">
        <f>HYPERLINK("https://tbc.wowhead.com/item=30644","[Grips of Deftness]")</f>
        <v>[Grips of Deftness]</v>
      </c>
      <c r="N61">
        <v>1</v>
      </c>
      <c r="O61" t="b">
        <v>0</v>
      </c>
      <c r="P61" t="s">
        <v>25</v>
      </c>
      <c r="Q61" t="s">
        <v>37</v>
      </c>
      <c r="R61" t="s">
        <v>38</v>
      </c>
      <c r="T61" t="s">
        <v>39</v>
      </c>
      <c r="U61" s="4">
        <f t="shared" si="1"/>
        <v>46167</v>
      </c>
    </row>
    <row r="62" spans="1:21" x14ac:dyDescent="0.25">
      <c r="A62" t="s">
        <v>75</v>
      </c>
      <c r="B62" s="1">
        <v>46167</v>
      </c>
      <c r="C62" s="2">
        <v>0.89166666666666672</v>
      </c>
      <c r="D62" t="str">
        <f>HYPERLINK("https://tbc.wowhead.com/item=30249","[Pauldrons of the Vanquished Defender]")</f>
        <v>[Pauldrons of the Vanquished Defender]</v>
      </c>
      <c r="E62">
        <v>30249</v>
      </c>
      <c r="F62" t="s">
        <v>78</v>
      </c>
      <c r="G62" t="s">
        <v>22</v>
      </c>
      <c r="H62">
        <v>2</v>
      </c>
      <c r="I62" t="s">
        <v>67</v>
      </c>
      <c r="J62" t="s">
        <v>35</v>
      </c>
      <c r="K62" t="s">
        <v>36</v>
      </c>
      <c r="L62" t="str">
        <f>HYPERLINK("https://tbc.wowhead.com/item=29054","[Light-Mantle of the Incarnate]")</f>
        <v>[Light-Mantle of the Incarnate]</v>
      </c>
      <c r="N62">
        <v>1</v>
      </c>
      <c r="O62" t="b">
        <v>0</v>
      </c>
      <c r="P62" t="s">
        <v>25</v>
      </c>
      <c r="Q62" t="s">
        <v>26</v>
      </c>
      <c r="T62" t="s">
        <v>39</v>
      </c>
      <c r="U62" s="4">
        <f t="shared" si="1"/>
        <v>46167</v>
      </c>
    </row>
    <row r="63" spans="1:21" x14ac:dyDescent="0.25">
      <c r="A63" t="s">
        <v>170</v>
      </c>
      <c r="B63" s="1">
        <v>46167</v>
      </c>
      <c r="C63" s="2">
        <v>0.89375000000000004</v>
      </c>
      <c r="D63" t="str">
        <f>HYPERLINK("https://tbc.wowhead.com/item=30250","[Pauldrons of the Vanquished Hero]")</f>
        <v>[Pauldrons of the Vanquished Hero]</v>
      </c>
      <c r="E63">
        <v>30250</v>
      </c>
      <c r="F63" t="s">
        <v>101</v>
      </c>
      <c r="G63" t="s">
        <v>22</v>
      </c>
      <c r="H63">
        <v>2</v>
      </c>
      <c r="I63" t="s">
        <v>57</v>
      </c>
      <c r="J63" t="s">
        <v>35</v>
      </c>
      <c r="K63" t="s">
        <v>36</v>
      </c>
      <c r="L63" t="str">
        <f>HYPERLINK("https://tbc.wowhead.com/item=25854","[Gladiator's Silk Amice]")</f>
        <v>[Gladiator's Silk Amice]</v>
      </c>
      <c r="N63">
        <v>1</v>
      </c>
      <c r="O63" t="b">
        <v>0</v>
      </c>
      <c r="P63" t="s">
        <v>25</v>
      </c>
      <c r="Q63" t="s">
        <v>26</v>
      </c>
      <c r="T63" t="s">
        <v>39</v>
      </c>
      <c r="U63" s="4">
        <f t="shared" si="1"/>
        <v>46167</v>
      </c>
    </row>
    <row r="64" spans="1:21" x14ac:dyDescent="0.25">
      <c r="A64" t="s">
        <v>170</v>
      </c>
      <c r="B64" s="1">
        <v>46167</v>
      </c>
      <c r="C64" s="2">
        <v>0.89375000000000004</v>
      </c>
      <c r="D64" t="str">
        <f>HYPERLINK("https://tbc.wowhead.com/item=30238","[Chestguard of the Vanquished Hero]")</f>
        <v>[Chestguard of the Vanquished Hero]</v>
      </c>
      <c r="E64">
        <v>30238</v>
      </c>
      <c r="F64" t="s">
        <v>98</v>
      </c>
      <c r="G64" t="s">
        <v>22</v>
      </c>
      <c r="H64">
        <v>0</v>
      </c>
      <c r="I64" t="s">
        <v>57</v>
      </c>
      <c r="J64" t="s">
        <v>35</v>
      </c>
      <c r="K64" t="s">
        <v>36</v>
      </c>
      <c r="L64" t="str">
        <f>HYPERLINK("https://tbc.wowhead.com/item=29077","[Vestments of the Aldor]")</f>
        <v>[Vestments of the Aldor]</v>
      </c>
      <c r="N64">
        <v>1</v>
      </c>
      <c r="O64" t="b">
        <v>0</v>
      </c>
      <c r="P64" t="s">
        <v>25</v>
      </c>
      <c r="Q64" t="s">
        <v>26</v>
      </c>
      <c r="T64" t="s">
        <v>39</v>
      </c>
      <c r="U64" s="4">
        <f t="shared" si="1"/>
        <v>46167</v>
      </c>
    </row>
    <row r="65" spans="1:21" x14ac:dyDescent="0.25">
      <c r="A65" t="s">
        <v>170</v>
      </c>
      <c r="B65" s="1">
        <v>46167</v>
      </c>
      <c r="C65" s="2">
        <v>0.9</v>
      </c>
      <c r="D65" t="str">
        <f>HYPERLINK("https://tbc.wowhead.com/item=29972","[Trousers of the Astromancer]")</f>
        <v>[Trousers of the Astromancer]</v>
      </c>
      <c r="E65">
        <v>29972</v>
      </c>
      <c r="F65" t="s">
        <v>171</v>
      </c>
      <c r="G65" t="s">
        <v>34</v>
      </c>
      <c r="H65">
        <v>0</v>
      </c>
      <c r="I65" t="s">
        <v>57</v>
      </c>
      <c r="J65" t="s">
        <v>35</v>
      </c>
      <c r="K65" t="s">
        <v>36</v>
      </c>
      <c r="L65" t="str">
        <f>HYPERLINK("https://tbc.wowhead.com/item=29078","[Legwraps of the Aldor]")</f>
        <v>[Legwraps of the Aldor]</v>
      </c>
      <c r="N65">
        <v>3</v>
      </c>
      <c r="O65" t="b">
        <v>0</v>
      </c>
      <c r="P65" t="s">
        <v>25</v>
      </c>
      <c r="Q65" t="s">
        <v>60</v>
      </c>
      <c r="R65" t="s">
        <v>172</v>
      </c>
      <c r="T65" t="s">
        <v>39</v>
      </c>
      <c r="U65" s="4">
        <f t="shared" si="1"/>
        <v>46167</v>
      </c>
    </row>
    <row r="66" spans="1:21" x14ac:dyDescent="0.25">
      <c r="A66" t="s">
        <v>135</v>
      </c>
      <c r="B66" s="1">
        <v>46167</v>
      </c>
      <c r="C66" s="2">
        <v>0.89097222222222228</v>
      </c>
      <c r="D66" t="str">
        <f>HYPERLINK("https://tbc.wowhead.com/item=30249","[Pauldrons of the Vanquished Defender]")</f>
        <v>[Pauldrons of the Vanquished Defender]</v>
      </c>
      <c r="E66">
        <v>30249</v>
      </c>
      <c r="F66" t="s">
        <v>78</v>
      </c>
      <c r="G66" t="s">
        <v>22</v>
      </c>
      <c r="H66">
        <v>4</v>
      </c>
      <c r="I66" t="s">
        <v>51</v>
      </c>
      <c r="J66" t="s">
        <v>35</v>
      </c>
      <c r="K66" t="s">
        <v>36</v>
      </c>
      <c r="L66" t="str">
        <f>HYPERLINK("https://tbc.wowhead.com/item=29100","[Mantle of Malorne]")</f>
        <v>[Mantle of Malorne]</v>
      </c>
      <c r="N66">
        <v>1</v>
      </c>
      <c r="O66" t="b">
        <v>0</v>
      </c>
      <c r="P66" t="s">
        <v>25</v>
      </c>
      <c r="Q66" t="s">
        <v>26</v>
      </c>
      <c r="T66" t="s">
        <v>39</v>
      </c>
      <c r="U66" s="4">
        <f t="shared" ref="U66:U97" si="2">IF(B66="","",B66)</f>
        <v>46167</v>
      </c>
    </row>
    <row r="67" spans="1:21" x14ac:dyDescent="0.25">
      <c r="A67" t="s">
        <v>115</v>
      </c>
      <c r="B67" s="1">
        <v>46167</v>
      </c>
      <c r="C67" s="2">
        <v>0.8930555555555556</v>
      </c>
      <c r="D67" t="str">
        <f>HYPERLINK("https://tbc.wowhead.com/item=30237","[Chestguard of the Vanquished Defender]")</f>
        <v>[Chestguard of the Vanquished Defender]</v>
      </c>
      <c r="E67">
        <v>30237</v>
      </c>
      <c r="F67" t="s">
        <v>125</v>
      </c>
      <c r="G67" t="s">
        <v>22</v>
      </c>
      <c r="H67">
        <v>3</v>
      </c>
      <c r="I67" t="s">
        <v>81</v>
      </c>
      <c r="J67" t="s">
        <v>35</v>
      </c>
      <c r="K67" t="s">
        <v>36</v>
      </c>
      <c r="L67" t="str">
        <f>HYPERLINK("https://tbc.wowhead.com/item=29019","[Warbringer Breastplate]")</f>
        <v>[Warbringer Breastplate]</v>
      </c>
      <c r="N67">
        <v>1</v>
      </c>
      <c r="O67" t="b">
        <v>0</v>
      </c>
      <c r="P67" t="s">
        <v>25</v>
      </c>
      <c r="Q67" t="s">
        <v>26</v>
      </c>
      <c r="T67" t="s">
        <v>39</v>
      </c>
      <c r="U67" s="4">
        <f t="shared" si="2"/>
        <v>46167</v>
      </c>
    </row>
    <row r="68" spans="1:21" x14ac:dyDescent="0.25">
      <c r="A68" t="s">
        <v>136</v>
      </c>
      <c r="B68" s="1">
        <v>46167</v>
      </c>
      <c r="C68" s="2">
        <v>0.89722222222222225</v>
      </c>
      <c r="D68" t="str">
        <f>HYPERLINK("https://tbc.wowhead.com/item=29920","[Phoenix-Ring of Rebirth]")</f>
        <v>[Phoenix-Ring of Rebirth]</v>
      </c>
      <c r="E68">
        <v>29920</v>
      </c>
      <c r="F68" t="s">
        <v>174</v>
      </c>
      <c r="G68" t="s">
        <v>22</v>
      </c>
      <c r="H68">
        <v>0</v>
      </c>
      <c r="I68" t="s">
        <v>41</v>
      </c>
      <c r="J68" t="s">
        <v>35</v>
      </c>
      <c r="K68" t="s">
        <v>36</v>
      </c>
      <c r="L68" t="str">
        <f>HYPERLINK("https://tbc.wowhead.com/item=28394","[Ryngo's Band of Ingenuity]")</f>
        <v>[Ryngo's Band of Ingenuity]</v>
      </c>
      <c r="M68" t="str">
        <f>HYPERLINK("https://tbc.wowhead.com/item=29287","[Violet Signet of the Archmage]")</f>
        <v>[Violet Signet of the Archmage]</v>
      </c>
      <c r="N68">
        <v>1</v>
      </c>
      <c r="O68" t="b">
        <v>0</v>
      </c>
      <c r="P68" t="s">
        <v>25</v>
      </c>
      <c r="Q68" t="s">
        <v>62</v>
      </c>
      <c r="R68" t="s">
        <v>87</v>
      </c>
      <c r="T68" t="s">
        <v>39</v>
      </c>
      <c r="U68" s="4">
        <f t="shared" si="2"/>
        <v>46167</v>
      </c>
    </row>
    <row r="69" spans="1:21" x14ac:dyDescent="0.25">
      <c r="A69" t="s">
        <v>74</v>
      </c>
      <c r="B69" s="1">
        <v>46167</v>
      </c>
      <c r="C69" s="2">
        <v>0.90208333333333335</v>
      </c>
      <c r="D69" t="str">
        <f>HYPERLINK("https://tbc.wowhead.com/item=30026","[Bands of the Celestial Archer]")</f>
        <v>[Bands of the Celestial Archer]</v>
      </c>
      <c r="E69">
        <v>30026</v>
      </c>
      <c r="F69" t="s">
        <v>175</v>
      </c>
      <c r="G69" t="s">
        <v>34</v>
      </c>
      <c r="H69">
        <v>1</v>
      </c>
      <c r="I69" t="s">
        <v>41</v>
      </c>
      <c r="J69" t="s">
        <v>35</v>
      </c>
      <c r="K69" t="s">
        <v>36</v>
      </c>
      <c r="L69" t="str">
        <f>HYPERLINK("https://tbc.wowhead.com/item=28454","[Stalker's War Bands]")</f>
        <v>[Stalker's War Bands]</v>
      </c>
      <c r="N69">
        <v>3</v>
      </c>
      <c r="O69" t="b">
        <v>0</v>
      </c>
      <c r="P69" t="s">
        <v>25</v>
      </c>
      <c r="Q69" t="s">
        <v>83</v>
      </c>
      <c r="R69" t="s">
        <v>73</v>
      </c>
      <c r="T69" t="s">
        <v>39</v>
      </c>
      <c r="U69" s="4">
        <f t="shared" si="2"/>
        <v>46167</v>
      </c>
    </row>
    <row r="70" spans="1:21" x14ac:dyDescent="0.25">
      <c r="A70" t="s">
        <v>104</v>
      </c>
      <c r="B70" s="1">
        <v>46167</v>
      </c>
      <c r="C70" s="2">
        <v>0.9</v>
      </c>
      <c r="D70" t="str">
        <f>HYPERLINK("https://tbc.wowhead.com/item=30447","[Tome of Fiery Redemption]")</f>
        <v>[Tome of Fiery Redemption]</v>
      </c>
      <c r="E70">
        <v>30447</v>
      </c>
      <c r="F70" t="s">
        <v>180</v>
      </c>
      <c r="G70" t="s">
        <v>181</v>
      </c>
      <c r="H70">
        <v>0</v>
      </c>
      <c r="I70" t="s">
        <v>28</v>
      </c>
      <c r="J70" t="s">
        <v>35</v>
      </c>
      <c r="K70" t="s">
        <v>36</v>
      </c>
      <c r="L70" t="str">
        <f>HYPERLINK("https://tbc.wowhead.com/item=29370","[Icon of the Silver Crescent]")</f>
        <v>[Icon of the Silver Crescent]</v>
      </c>
      <c r="M70" t="str">
        <f>HYPERLINK("https://tbc.wowhead.com/item=27529","[Figurine of the Colossus]")</f>
        <v>[Figurine of the Colossus]</v>
      </c>
      <c r="N70" t="s">
        <v>121</v>
      </c>
      <c r="O70" t="b">
        <v>0</v>
      </c>
      <c r="P70" t="s">
        <v>25</v>
      </c>
      <c r="Q70" t="s">
        <v>62</v>
      </c>
      <c r="R70" t="s">
        <v>63</v>
      </c>
      <c r="T70" t="s">
        <v>39</v>
      </c>
      <c r="U70" s="4">
        <f t="shared" si="2"/>
        <v>46167</v>
      </c>
    </row>
    <row r="71" spans="1:21" x14ac:dyDescent="0.25">
      <c r="A71" t="s">
        <v>104</v>
      </c>
      <c r="B71" s="1">
        <v>46167</v>
      </c>
      <c r="C71" s="2">
        <v>0.90069444444444446</v>
      </c>
      <c r="D71" t="str">
        <f>HYPERLINK("https://tbc.wowhead.com/item=32405","[Verdant Sphere]")</f>
        <v>[Verdant Sphere]</v>
      </c>
      <c r="E71">
        <v>32405</v>
      </c>
      <c r="F71" t="s">
        <v>182</v>
      </c>
      <c r="G71" t="s">
        <v>22</v>
      </c>
      <c r="H71">
        <v>2</v>
      </c>
      <c r="I71" t="s">
        <v>28</v>
      </c>
      <c r="J71" t="s">
        <v>35</v>
      </c>
      <c r="K71" t="s">
        <v>36</v>
      </c>
      <c r="N71">
        <v>1</v>
      </c>
      <c r="O71" t="b">
        <v>0</v>
      </c>
      <c r="P71" t="s">
        <v>25</v>
      </c>
      <c r="Q71" t="s">
        <v>42</v>
      </c>
      <c r="T71" t="s">
        <v>39</v>
      </c>
      <c r="U71" s="4">
        <f t="shared" si="2"/>
        <v>46167</v>
      </c>
    </row>
    <row r="72" spans="1:21" x14ac:dyDescent="0.25">
      <c r="A72" t="s">
        <v>126</v>
      </c>
      <c r="B72" s="1">
        <v>46167</v>
      </c>
      <c r="C72" s="2">
        <v>0.89722222222222225</v>
      </c>
      <c r="D72" t="str">
        <f>HYPERLINK("https://tbc.wowhead.com/item=29962","[Heartrazor]")</f>
        <v>[Heartrazor]</v>
      </c>
      <c r="E72">
        <v>29962</v>
      </c>
      <c r="F72" t="s">
        <v>189</v>
      </c>
      <c r="G72" t="s">
        <v>44</v>
      </c>
      <c r="H72">
        <v>0</v>
      </c>
      <c r="I72" t="s">
        <v>127</v>
      </c>
      <c r="J72" t="s">
        <v>35</v>
      </c>
      <c r="K72" t="s">
        <v>36</v>
      </c>
      <c r="L72" t="str">
        <f>HYPERLINK("https://tbc.wowhead.com/item=28295","[Gladiator's Slicer]")</f>
        <v>[Gladiator's Slicer]</v>
      </c>
      <c r="M72" t="str">
        <f>HYPERLINK("https://tbc.wowhead.com/item=28189","[Latro's Shifting Sword]")</f>
        <v>[Latro's Shifting Sword]</v>
      </c>
      <c r="N72">
        <v>4</v>
      </c>
      <c r="O72" t="b">
        <v>0</v>
      </c>
      <c r="P72" t="s">
        <v>25</v>
      </c>
      <c r="Q72" t="s">
        <v>190</v>
      </c>
      <c r="R72" t="s">
        <v>114</v>
      </c>
      <c r="T72" t="s">
        <v>39</v>
      </c>
      <c r="U72" s="4">
        <f t="shared" si="2"/>
        <v>46167</v>
      </c>
    </row>
    <row r="73" spans="1:21" x14ac:dyDescent="0.25">
      <c r="A73" t="s">
        <v>192</v>
      </c>
      <c r="B73" s="1">
        <v>46167</v>
      </c>
      <c r="C73" s="2">
        <v>0.89444444444444449</v>
      </c>
      <c r="D73" t="str">
        <f>HYPERLINK("https://tbc.wowhead.com/item=30029","[Bark-Gloves of Ancient Wisdom]")</f>
        <v>[Bark-Gloves of Ancient Wisdom]</v>
      </c>
      <c r="E73">
        <v>30029</v>
      </c>
      <c r="F73" t="s">
        <v>33</v>
      </c>
      <c r="G73" t="s">
        <v>34</v>
      </c>
      <c r="H73">
        <v>1</v>
      </c>
      <c r="I73" t="s">
        <v>28</v>
      </c>
      <c r="J73" t="s">
        <v>35</v>
      </c>
      <c r="K73" t="s">
        <v>36</v>
      </c>
      <c r="L73" t="str">
        <f>HYPERLINK("https://tbc.wowhead.com/item=28521","[Mitts of the Treemender]")</f>
        <v>[Mitts of the Treemender]</v>
      </c>
      <c r="N73">
        <v>3</v>
      </c>
      <c r="O73" t="b">
        <v>0</v>
      </c>
      <c r="P73" t="s">
        <v>25</v>
      </c>
      <c r="Q73" t="s">
        <v>37</v>
      </c>
      <c r="R73" t="s">
        <v>38</v>
      </c>
      <c r="T73" t="s">
        <v>39</v>
      </c>
      <c r="U73" s="4">
        <f t="shared" si="2"/>
        <v>46167</v>
      </c>
    </row>
    <row r="74" spans="1:21" x14ac:dyDescent="0.25">
      <c r="A74" t="s">
        <v>20</v>
      </c>
      <c r="B74" s="1">
        <v>46170</v>
      </c>
      <c r="C74" s="2">
        <v>0.84583333333333333</v>
      </c>
      <c r="D74" t="str">
        <f>HYPERLINK("https://tbc.wowhead.com/item=30247","[Gamaschen des bezwungenen Helden]")</f>
        <v>[Gamaschen des bezwungenen Helden]</v>
      </c>
      <c r="E74">
        <v>30247</v>
      </c>
      <c r="F74" t="s">
        <v>134</v>
      </c>
      <c r="G74" t="s">
        <v>22</v>
      </c>
      <c r="H74">
        <v>2</v>
      </c>
      <c r="I74" t="s">
        <v>23</v>
      </c>
      <c r="J74" t="s">
        <v>162</v>
      </c>
      <c r="K74" t="s">
        <v>45</v>
      </c>
      <c r="L74" t="str">
        <f>HYPERLINK("https://tbc.wowhead.com/item=24262","[Hose des Zauberschlags]")</f>
        <v>[Hose des Zauberschlags]</v>
      </c>
      <c r="N74">
        <v>1</v>
      </c>
      <c r="O74" t="b">
        <v>0</v>
      </c>
      <c r="P74" t="s">
        <v>25</v>
      </c>
      <c r="Q74" t="s">
        <v>26</v>
      </c>
      <c r="T74" t="s">
        <v>135</v>
      </c>
      <c r="U74" s="4">
        <f t="shared" si="2"/>
        <v>46170</v>
      </c>
    </row>
    <row r="75" spans="1:21" x14ac:dyDescent="0.25">
      <c r="A75" t="s">
        <v>193</v>
      </c>
      <c r="B75" s="1">
        <v>46170</v>
      </c>
      <c r="C75" s="2">
        <v>0.85833333333333328</v>
      </c>
      <c r="D75" t="str">
        <f>HYPERLINK("https://tbc.wowhead.com/item=30075","[Rauer Brustharnisch der Uralten]")</f>
        <v>[Rauer Brustharnisch der Uralten]</v>
      </c>
      <c r="E75">
        <v>30075</v>
      </c>
      <c r="F75" t="s">
        <v>194</v>
      </c>
      <c r="G75" t="s">
        <v>34</v>
      </c>
      <c r="H75">
        <v>3</v>
      </c>
      <c r="I75" t="s">
        <v>41</v>
      </c>
      <c r="J75" t="s">
        <v>162</v>
      </c>
      <c r="K75" t="s">
        <v>29</v>
      </c>
      <c r="L75" t="str">
        <f>HYPERLINK("https://tbc.wowhead.com/item=28600","[Wams des Steingeästs]")</f>
        <v>[Wams des Steingeästs]</v>
      </c>
      <c r="N75">
        <v>3</v>
      </c>
      <c r="O75" t="b">
        <v>0</v>
      </c>
      <c r="P75" t="s">
        <v>25</v>
      </c>
      <c r="Q75" t="s">
        <v>37</v>
      </c>
      <c r="R75" t="s">
        <v>84</v>
      </c>
      <c r="T75" t="s">
        <v>135</v>
      </c>
      <c r="U75" s="4">
        <f t="shared" si="2"/>
        <v>46170</v>
      </c>
    </row>
    <row r="76" spans="1:21" x14ac:dyDescent="0.25">
      <c r="A76" t="s">
        <v>193</v>
      </c>
      <c r="B76" s="1">
        <v>46170</v>
      </c>
      <c r="C76" s="2">
        <v>0.89444444444444449</v>
      </c>
      <c r="D76" t="str">
        <f>HYPERLINK("https://tbc.wowhead.com/item=28822","[Zahn von Gruul]")</f>
        <v>[Zahn von Gruul]</v>
      </c>
      <c r="E76">
        <v>28822</v>
      </c>
      <c r="F76" t="s">
        <v>195</v>
      </c>
      <c r="G76" t="s">
        <v>34</v>
      </c>
      <c r="H76">
        <v>3</v>
      </c>
      <c r="I76" t="s">
        <v>41</v>
      </c>
      <c r="J76" t="s">
        <v>196</v>
      </c>
      <c r="K76" t="s">
        <v>197</v>
      </c>
      <c r="L76" t="str">
        <f>HYPERLINK("https://tbc.wowhead.com/item=29374","[Halskette der ewigen Hoffnung]")</f>
        <v>[Halskette der ewigen Hoffnung]</v>
      </c>
      <c r="N76">
        <v>3</v>
      </c>
      <c r="O76" t="b">
        <v>0</v>
      </c>
      <c r="P76" t="s">
        <v>25</v>
      </c>
      <c r="Q76" t="s">
        <v>62</v>
      </c>
      <c r="R76" t="s">
        <v>76</v>
      </c>
      <c r="T76" t="s">
        <v>135</v>
      </c>
      <c r="U76" s="4">
        <f t="shared" si="2"/>
        <v>46170</v>
      </c>
    </row>
    <row r="77" spans="1:21" x14ac:dyDescent="0.25">
      <c r="A77" t="s">
        <v>165</v>
      </c>
      <c r="B77" s="1">
        <v>46170</v>
      </c>
      <c r="C77" s="2">
        <v>0.87777777777777777</v>
      </c>
      <c r="D77" t="str">
        <f>HYPERLINK("https://tbc.wowhead.com/item=30244","[Helm des bezwungenen Helden]")</f>
        <v>[Helm des bezwungenen Helden]</v>
      </c>
      <c r="E77">
        <v>30244</v>
      </c>
      <c r="F77" t="s">
        <v>21</v>
      </c>
      <c r="G77" t="s">
        <v>22</v>
      </c>
      <c r="H77">
        <v>2</v>
      </c>
      <c r="I77" t="s">
        <v>97</v>
      </c>
      <c r="J77" t="s">
        <v>162</v>
      </c>
      <c r="K77" t="s">
        <v>24</v>
      </c>
      <c r="L77" t="str">
        <f>HYPERLINK("https://tbc.wowhead.com/item=28275","[Helm des Wildtierfürsten]")</f>
        <v>[Helm des Wildtierfürsten]</v>
      </c>
      <c r="N77">
        <v>1</v>
      </c>
      <c r="O77" t="b">
        <v>0</v>
      </c>
      <c r="P77" t="s">
        <v>25</v>
      </c>
      <c r="Q77" t="s">
        <v>26</v>
      </c>
      <c r="T77" t="s">
        <v>135</v>
      </c>
      <c r="U77" s="4">
        <f t="shared" si="2"/>
        <v>46170</v>
      </c>
    </row>
    <row r="78" spans="1:21" x14ac:dyDescent="0.25">
      <c r="A78" t="s">
        <v>165</v>
      </c>
      <c r="B78" s="1">
        <v>46170</v>
      </c>
      <c r="C78" s="2">
        <v>0.89444444444444449</v>
      </c>
      <c r="D78" t="str">
        <f>HYPERLINK("https://tbc.wowhead.com/item=29762","[Schulterstücke des gefallenen Helden]")</f>
        <v>[Schulterstücke des gefallenen Helden]</v>
      </c>
      <c r="E78">
        <v>29762</v>
      </c>
      <c r="F78" t="s">
        <v>198</v>
      </c>
      <c r="G78" t="s">
        <v>44</v>
      </c>
      <c r="H78">
        <v>2</v>
      </c>
      <c r="I78" t="s">
        <v>97</v>
      </c>
      <c r="J78" t="s">
        <v>196</v>
      </c>
      <c r="K78" t="s">
        <v>197</v>
      </c>
      <c r="L78" t="str">
        <f>HYPERLINK("https://tbc.wowhead.com/item=27801","[Mantelung des Wildtierfürsten]")</f>
        <v>[Mantelung des Wildtierfürsten]</v>
      </c>
      <c r="N78">
        <v>4</v>
      </c>
      <c r="O78" t="b">
        <v>0</v>
      </c>
      <c r="P78" t="s">
        <v>25</v>
      </c>
      <c r="Q78" t="s">
        <v>26</v>
      </c>
      <c r="T78" t="s">
        <v>135</v>
      </c>
      <c r="U78" s="4">
        <f t="shared" si="2"/>
        <v>46170</v>
      </c>
    </row>
    <row r="79" spans="1:21" x14ac:dyDescent="0.25">
      <c r="A79" t="s">
        <v>165</v>
      </c>
      <c r="B79" s="1">
        <v>46170</v>
      </c>
      <c r="C79" s="2">
        <v>0.89444444444444449</v>
      </c>
      <c r="D79" t="str">
        <f>HYPERLINK("https://tbc.wowhead.com/item=29765","[Gamaschen des gefallenen Helden]")</f>
        <v>[Gamaschen des gefallenen Helden]</v>
      </c>
      <c r="E79">
        <v>29765</v>
      </c>
      <c r="F79" t="s">
        <v>199</v>
      </c>
      <c r="G79" t="s">
        <v>44</v>
      </c>
      <c r="H79">
        <v>2</v>
      </c>
      <c r="I79" t="s">
        <v>97</v>
      </c>
      <c r="J79" t="s">
        <v>196</v>
      </c>
      <c r="K79" t="s">
        <v>197</v>
      </c>
      <c r="L79" t="str">
        <f>HYPERLINK("https://tbc.wowhead.com/item=27874","[Gamaschen des Wildtierfürsten]")</f>
        <v>[Gamaschen des Wildtierfürsten]</v>
      </c>
      <c r="N79">
        <v>4</v>
      </c>
      <c r="O79" t="b">
        <v>0</v>
      </c>
      <c r="P79" t="s">
        <v>25</v>
      </c>
      <c r="Q79" t="s">
        <v>26</v>
      </c>
      <c r="T79" t="s">
        <v>135</v>
      </c>
      <c r="U79" s="4">
        <f t="shared" si="2"/>
        <v>46170</v>
      </c>
    </row>
    <row r="80" spans="1:21" x14ac:dyDescent="0.25">
      <c r="A80" t="s">
        <v>165</v>
      </c>
      <c r="B80" s="1">
        <v>46170</v>
      </c>
      <c r="C80" s="2">
        <v>0.90555555555555556</v>
      </c>
      <c r="D80" t="str">
        <f>HYPERLINK("https://tbc.wowhead.com/item=29765","[Gamaschen des gefallenen Helden]")</f>
        <v>[Gamaschen des gefallenen Helden]</v>
      </c>
      <c r="E80">
        <v>29765</v>
      </c>
      <c r="F80" t="s">
        <v>199</v>
      </c>
      <c r="G80" t="s">
        <v>44</v>
      </c>
      <c r="H80">
        <v>3</v>
      </c>
      <c r="I80" t="s">
        <v>97</v>
      </c>
      <c r="J80" t="s">
        <v>200</v>
      </c>
      <c r="K80" t="s">
        <v>201</v>
      </c>
      <c r="L80" t="str">
        <f>HYPERLINK("https://tbc.wowhead.com/item=27874","[Gamaschen des Wildtierfürsten]")</f>
        <v>[Gamaschen des Wildtierfürsten]</v>
      </c>
      <c r="N80">
        <v>4</v>
      </c>
      <c r="O80" t="b">
        <v>0</v>
      </c>
      <c r="P80" t="s">
        <v>25</v>
      </c>
      <c r="Q80" t="s">
        <v>26</v>
      </c>
      <c r="T80" t="s">
        <v>135</v>
      </c>
      <c r="U80" s="4">
        <f t="shared" si="2"/>
        <v>46170</v>
      </c>
    </row>
    <row r="81" spans="1:21" x14ac:dyDescent="0.25">
      <c r="A81" t="s">
        <v>96</v>
      </c>
      <c r="B81" s="1">
        <v>46170</v>
      </c>
      <c r="C81" s="2">
        <v>0.87777777777777777</v>
      </c>
      <c r="D81" t="str">
        <f>HYPERLINK("https://tbc.wowhead.com/item=30244","[Helm des bezwungenen Helden]")</f>
        <v>[Helm des bezwungenen Helden]</v>
      </c>
      <c r="E81">
        <v>30244</v>
      </c>
      <c r="F81" t="s">
        <v>21</v>
      </c>
      <c r="G81" t="s">
        <v>22</v>
      </c>
      <c r="H81">
        <v>3</v>
      </c>
      <c r="I81" t="s">
        <v>97</v>
      </c>
      <c r="J81" t="s">
        <v>162</v>
      </c>
      <c r="K81" t="s">
        <v>24</v>
      </c>
      <c r="L81" t="str">
        <f>HYPERLINK("https://tbc.wowhead.com/item=28275","[Helm des Wildtierfürsten]")</f>
        <v>[Helm des Wildtierfürsten]</v>
      </c>
      <c r="N81">
        <v>1</v>
      </c>
      <c r="O81" t="b">
        <v>0</v>
      </c>
      <c r="P81" t="s">
        <v>25</v>
      </c>
      <c r="Q81" t="s">
        <v>26</v>
      </c>
      <c r="T81" t="s">
        <v>135</v>
      </c>
      <c r="U81" s="4">
        <f t="shared" si="2"/>
        <v>46170</v>
      </c>
    </row>
    <row r="82" spans="1:21" x14ac:dyDescent="0.25">
      <c r="A82" t="s">
        <v>74</v>
      </c>
      <c r="B82" s="1">
        <v>46170</v>
      </c>
      <c r="C82" s="2">
        <v>0.87777777777777777</v>
      </c>
      <c r="D82" t="str">
        <f>HYPERLINK("https://tbc.wowhead.com/item=30242","[Helm des bezwungenen Champions]")</f>
        <v>[Helm des bezwungenen Champions]</v>
      </c>
      <c r="E82">
        <v>30242</v>
      </c>
      <c r="F82" t="s">
        <v>105</v>
      </c>
      <c r="G82" t="s">
        <v>22</v>
      </c>
      <c r="H82">
        <v>3</v>
      </c>
      <c r="I82" t="s">
        <v>41</v>
      </c>
      <c r="J82" t="s">
        <v>162</v>
      </c>
      <c r="K82" t="s">
        <v>24</v>
      </c>
      <c r="L82" t="str">
        <f>HYPERLINK("https://tbc.wowhead.com/item=28732","[Gugel der Herausforderung]")</f>
        <v>[Gugel der Herausforderung]</v>
      </c>
      <c r="N82">
        <v>1</v>
      </c>
      <c r="O82" t="b">
        <v>0</v>
      </c>
      <c r="P82" t="s">
        <v>25</v>
      </c>
      <c r="Q82" t="s">
        <v>26</v>
      </c>
      <c r="T82" t="s">
        <v>135</v>
      </c>
      <c r="U82" s="4">
        <f t="shared" si="2"/>
        <v>46170</v>
      </c>
    </row>
    <row r="83" spans="1:21" x14ac:dyDescent="0.25">
      <c r="A83" t="s">
        <v>91</v>
      </c>
      <c r="B83" s="1">
        <v>46170</v>
      </c>
      <c r="C83" s="2">
        <v>0.81527777777777777</v>
      </c>
      <c r="D83" t="str">
        <f>HYPERLINK("https://tbc.wowhead.com/item=30060","[Stiefel des mühelosen Kampfes]")</f>
        <v>[Stiefel des mühelosen Kampfes]</v>
      </c>
      <c r="E83">
        <v>30060</v>
      </c>
      <c r="F83" t="s">
        <v>131</v>
      </c>
      <c r="G83" t="s">
        <v>44</v>
      </c>
      <c r="H83">
        <v>3</v>
      </c>
      <c r="I83" t="s">
        <v>51</v>
      </c>
      <c r="J83" t="s">
        <v>162</v>
      </c>
      <c r="K83" t="s">
        <v>202</v>
      </c>
      <c r="L83" t="str">
        <f>HYPERLINK("https://tbc.wowhead.com/item=29258","[Stiefel der astralen Manipulation]")</f>
        <v>[Stiefel der astralen Manipulation]</v>
      </c>
      <c r="N83">
        <v>4</v>
      </c>
      <c r="O83" t="b">
        <v>0</v>
      </c>
      <c r="P83" t="s">
        <v>25</v>
      </c>
      <c r="Q83" t="s">
        <v>37</v>
      </c>
      <c r="R83" t="s">
        <v>112</v>
      </c>
      <c r="T83" t="s">
        <v>135</v>
      </c>
      <c r="U83" s="4">
        <f t="shared" si="2"/>
        <v>46170</v>
      </c>
    </row>
    <row r="84" spans="1:21" x14ac:dyDescent="0.25">
      <c r="A84" t="s">
        <v>91</v>
      </c>
      <c r="B84" s="1">
        <v>46170</v>
      </c>
      <c r="C84" s="2">
        <v>0.84513888888888888</v>
      </c>
      <c r="D84" t="str">
        <f>HYPERLINK("https://tbc.wowhead.com/item=30626","[Sextant der unsteten Strömung]")</f>
        <v>[Sextant der unsteten Strömung]</v>
      </c>
      <c r="E84">
        <v>30626</v>
      </c>
      <c r="F84" t="s">
        <v>203</v>
      </c>
      <c r="G84" t="s">
        <v>54</v>
      </c>
      <c r="H84">
        <v>3</v>
      </c>
      <c r="I84" t="s">
        <v>51</v>
      </c>
      <c r="J84" t="s">
        <v>162</v>
      </c>
      <c r="K84" t="s">
        <v>45</v>
      </c>
      <c r="L84" t="str">
        <f>HYPERLINK("https://tbc.wowhead.com/item=29370","[Ikone des Silberwappens]")</f>
        <v>[Ikone des Silberwappens]</v>
      </c>
      <c r="M84" t="str">
        <f>HYPERLINK("https://tbc.wowhead.com/item=13503","[Alchimistenstein]")</f>
        <v>[Alchimistenstein]</v>
      </c>
      <c r="N84">
        <v>2</v>
      </c>
      <c r="O84" t="b">
        <v>0</v>
      </c>
      <c r="P84" t="s">
        <v>25</v>
      </c>
      <c r="Q84" t="s">
        <v>62</v>
      </c>
      <c r="R84" t="s">
        <v>63</v>
      </c>
      <c r="T84" t="s">
        <v>135</v>
      </c>
      <c r="U84" s="4">
        <f t="shared" si="2"/>
        <v>46170</v>
      </c>
    </row>
    <row r="85" spans="1:21" x14ac:dyDescent="0.25">
      <c r="A85" t="s">
        <v>91</v>
      </c>
      <c r="B85" s="1">
        <v>46170</v>
      </c>
      <c r="C85" s="2">
        <v>0.90555555555555556</v>
      </c>
      <c r="D85" t="str">
        <f>HYPERLINK("https://tbc.wowhead.com/item=29753","[Brustschutz des gefallenen Verteidigers]")</f>
        <v>[Brustschutz des gefallenen Verteidigers]</v>
      </c>
      <c r="E85">
        <v>29753</v>
      </c>
      <c r="F85" t="s">
        <v>204</v>
      </c>
      <c r="G85" t="s">
        <v>22</v>
      </c>
      <c r="H85">
        <v>1</v>
      </c>
      <c r="I85" t="s">
        <v>51</v>
      </c>
      <c r="J85" t="s">
        <v>200</v>
      </c>
      <c r="K85" t="s">
        <v>201</v>
      </c>
      <c r="L85" t="str">
        <f>HYPERLINK("https://tbc.wowhead.com/item=28602","[Robe der Ahnenschriften]")</f>
        <v>[Robe der Ahnenschriften]</v>
      </c>
      <c r="N85">
        <v>1</v>
      </c>
      <c r="O85" t="b">
        <v>0</v>
      </c>
      <c r="P85" t="s">
        <v>25</v>
      </c>
      <c r="Q85" t="s">
        <v>26</v>
      </c>
      <c r="T85" t="s">
        <v>135</v>
      </c>
      <c r="U85" s="4">
        <f t="shared" si="2"/>
        <v>46170</v>
      </c>
    </row>
    <row r="86" spans="1:21" x14ac:dyDescent="0.25">
      <c r="A86" t="s">
        <v>91</v>
      </c>
      <c r="B86" s="1">
        <v>46170</v>
      </c>
      <c r="C86" s="2">
        <v>0.90625</v>
      </c>
      <c r="D86" t="str">
        <f>HYPERLINK("https://tbc.wowhead.com/item=32386","[Magtheridons Kopf]")</f>
        <v>[Magtheridons Kopf]</v>
      </c>
      <c r="E86">
        <v>32386</v>
      </c>
      <c r="F86" t="s">
        <v>205</v>
      </c>
      <c r="G86" t="s">
        <v>22</v>
      </c>
      <c r="H86">
        <v>3</v>
      </c>
      <c r="I86" t="s">
        <v>51</v>
      </c>
      <c r="J86" t="s">
        <v>200</v>
      </c>
      <c r="K86" t="s">
        <v>201</v>
      </c>
      <c r="N86">
        <v>1</v>
      </c>
      <c r="O86" t="b">
        <v>0</v>
      </c>
      <c r="P86" t="s">
        <v>25</v>
      </c>
      <c r="Q86" t="s">
        <v>42</v>
      </c>
      <c r="T86" t="s">
        <v>135</v>
      </c>
      <c r="U86" s="4">
        <f t="shared" si="2"/>
        <v>46170</v>
      </c>
    </row>
    <row r="87" spans="1:21" x14ac:dyDescent="0.25">
      <c r="A87" t="s">
        <v>75</v>
      </c>
      <c r="B87" s="1">
        <v>46170</v>
      </c>
      <c r="C87" s="2">
        <v>0.87986111111111109</v>
      </c>
      <c r="D87" t="str">
        <f>HYPERLINK("https://tbc.wowhead.com/item=30108","[Szepter der Lichtertiefe]")</f>
        <v>[Szepter der Lichtertiefe]</v>
      </c>
      <c r="E87">
        <v>30108</v>
      </c>
      <c r="F87" t="s">
        <v>206</v>
      </c>
      <c r="G87" t="s">
        <v>22</v>
      </c>
      <c r="H87">
        <v>3</v>
      </c>
      <c r="I87" t="s">
        <v>67</v>
      </c>
      <c r="J87" t="s">
        <v>162</v>
      </c>
      <c r="K87" t="s">
        <v>24</v>
      </c>
      <c r="L87" t="str">
        <f>HYPERLINK("https://tbc.wowhead.com/item=28771","[Gerechtigkeit des Lichts]")</f>
        <v>[Gerechtigkeit des Lichts]</v>
      </c>
      <c r="N87">
        <v>1</v>
      </c>
      <c r="O87" t="b">
        <v>0</v>
      </c>
      <c r="P87" t="s">
        <v>25</v>
      </c>
      <c r="Q87" t="s">
        <v>207</v>
      </c>
      <c r="R87" t="s">
        <v>208</v>
      </c>
      <c r="T87" t="s">
        <v>135</v>
      </c>
      <c r="U87" s="4">
        <f t="shared" si="2"/>
        <v>46170</v>
      </c>
    </row>
    <row r="88" spans="1:21" x14ac:dyDescent="0.25">
      <c r="A88" t="s">
        <v>75</v>
      </c>
      <c r="B88" s="1">
        <v>46170</v>
      </c>
      <c r="C88" s="2">
        <v>0.90555555555555556</v>
      </c>
      <c r="D88" t="str">
        <f>HYPERLINK("https://tbc.wowhead.com/item=29753","[Brustschutz des gefallenen Verteidigers]")</f>
        <v>[Brustschutz des gefallenen Verteidigers]</v>
      </c>
      <c r="E88">
        <v>29753</v>
      </c>
      <c r="F88" t="s">
        <v>204</v>
      </c>
      <c r="G88" t="s">
        <v>54</v>
      </c>
      <c r="H88">
        <v>0</v>
      </c>
      <c r="I88" t="s">
        <v>67</v>
      </c>
      <c r="J88" t="s">
        <v>200</v>
      </c>
      <c r="K88" t="s">
        <v>201</v>
      </c>
      <c r="L88" t="str">
        <f>HYPERLINK("https://tbc.wowhead.com/item=21875","[Urmondstoffrobe]")</f>
        <v>[Urmondstoffrobe]</v>
      </c>
      <c r="N88">
        <v>2</v>
      </c>
      <c r="O88" t="b">
        <v>0</v>
      </c>
      <c r="P88" t="s">
        <v>25</v>
      </c>
      <c r="Q88" t="s">
        <v>26</v>
      </c>
      <c r="T88" t="s">
        <v>135</v>
      </c>
      <c r="U88" s="4">
        <f t="shared" si="2"/>
        <v>46170</v>
      </c>
    </row>
    <row r="89" spans="1:21" x14ac:dyDescent="0.25">
      <c r="A89" t="s">
        <v>170</v>
      </c>
      <c r="B89" s="1">
        <v>46170</v>
      </c>
      <c r="C89" s="2">
        <v>0.89444444444444449</v>
      </c>
      <c r="D89" t="str">
        <f>HYPERLINK("https://tbc.wowhead.com/item=28799","[Gürtel der göttlichen Eingebung]")</f>
        <v>[Gürtel der göttlichen Eingebung]</v>
      </c>
      <c r="E89">
        <v>28799</v>
      </c>
      <c r="F89" t="s">
        <v>209</v>
      </c>
      <c r="G89" t="s">
        <v>34</v>
      </c>
      <c r="H89">
        <v>2</v>
      </c>
      <c r="I89" t="s">
        <v>57</v>
      </c>
      <c r="J89" t="s">
        <v>196</v>
      </c>
      <c r="K89" t="s">
        <v>197</v>
      </c>
      <c r="L89" t="str">
        <f>HYPERLINK("https://tbc.wowhead.com/item=27742","[Gurt des Magiezorns]")</f>
        <v>[Gurt des Magiezorns]</v>
      </c>
      <c r="N89">
        <v>3</v>
      </c>
      <c r="O89" t="b">
        <v>0</v>
      </c>
      <c r="P89" t="s">
        <v>25</v>
      </c>
      <c r="Q89" t="s">
        <v>60</v>
      </c>
      <c r="R89" t="s">
        <v>55</v>
      </c>
      <c r="T89" t="s">
        <v>135</v>
      </c>
      <c r="U89" s="4">
        <f t="shared" si="2"/>
        <v>46170</v>
      </c>
    </row>
    <row r="90" spans="1:21" x14ac:dyDescent="0.25">
      <c r="A90" t="s">
        <v>210</v>
      </c>
      <c r="B90" s="1">
        <v>46170</v>
      </c>
      <c r="C90" s="2">
        <v>0.89444444444444449</v>
      </c>
      <c r="D90" t="str">
        <f>HYPERLINK("https://tbc.wowhead.com/item=29764","[Schulterstücke des gefallenen Verteidigers]")</f>
        <v>[Schulterstücke des gefallenen Verteidigers]</v>
      </c>
      <c r="E90">
        <v>29764</v>
      </c>
      <c r="F90" t="s">
        <v>211</v>
      </c>
      <c r="G90" t="s">
        <v>22</v>
      </c>
      <c r="H90">
        <v>2</v>
      </c>
      <c r="I90" t="s">
        <v>81</v>
      </c>
      <c r="J90" t="s">
        <v>196</v>
      </c>
      <c r="K90" t="s">
        <v>197</v>
      </c>
      <c r="L90" t="str">
        <f>HYPERLINK("https://tbc.wowhead.com/item=33173","[Zornstahlschultern]")</f>
        <v>[Zornstahlschultern]</v>
      </c>
      <c r="N90">
        <v>1</v>
      </c>
      <c r="O90" t="b">
        <v>0</v>
      </c>
      <c r="P90" t="s">
        <v>25</v>
      </c>
      <c r="Q90" t="s">
        <v>26</v>
      </c>
      <c r="T90" t="s">
        <v>135</v>
      </c>
      <c r="U90" s="4">
        <f t="shared" si="2"/>
        <v>46170</v>
      </c>
    </row>
    <row r="91" spans="1:21" x14ac:dyDescent="0.25">
      <c r="A91" t="s">
        <v>210</v>
      </c>
      <c r="B91" s="1">
        <v>46170</v>
      </c>
      <c r="C91" s="2">
        <v>0.90625</v>
      </c>
      <c r="D91" t="str">
        <f>HYPERLINK("https://tbc.wowhead.com/item=28774","[Gleve der Grube]")</f>
        <v>[Gleve der Grube]</v>
      </c>
      <c r="E91">
        <v>28774</v>
      </c>
      <c r="F91" t="s">
        <v>212</v>
      </c>
      <c r="G91" t="s">
        <v>44</v>
      </c>
      <c r="H91">
        <v>2</v>
      </c>
      <c r="I91" t="s">
        <v>81</v>
      </c>
      <c r="J91" t="s">
        <v>200</v>
      </c>
      <c r="K91" t="s">
        <v>201</v>
      </c>
      <c r="L91" t="str">
        <f>HYPERLINK("https://tbc.wowhead.com/item=29124","[Glanz des Verteidigers]")</f>
        <v>[Glanz des Verteidigers]</v>
      </c>
      <c r="M91" t="str">
        <f>HYPERLINK("https://tbc.wowhead.com/item=28572","[Klinge des Unerwiderten]")</f>
        <v>[Klinge des Unerwiderten]</v>
      </c>
      <c r="N91">
        <v>4</v>
      </c>
      <c r="O91" t="b">
        <v>0</v>
      </c>
      <c r="P91" t="s">
        <v>25</v>
      </c>
      <c r="Q91" t="s">
        <v>213</v>
      </c>
      <c r="R91" t="s">
        <v>52</v>
      </c>
      <c r="T91" t="s">
        <v>135</v>
      </c>
      <c r="U91" s="4">
        <f t="shared" si="2"/>
        <v>46170</v>
      </c>
    </row>
    <row r="92" spans="1:21" x14ac:dyDescent="0.25">
      <c r="A92" t="s">
        <v>104</v>
      </c>
      <c r="B92" s="1">
        <v>46170</v>
      </c>
      <c r="C92" s="2">
        <v>0.80208333333333337</v>
      </c>
      <c r="D92" t="str">
        <f>HYPERLINK("https://tbc.wowhead.com/item=30629","[Skarabäus der Verdrängung]")</f>
        <v>[Skarabäus der Verdrängung]</v>
      </c>
      <c r="E92">
        <v>30629</v>
      </c>
      <c r="F92" t="s">
        <v>214</v>
      </c>
      <c r="G92" t="s">
        <v>120</v>
      </c>
      <c r="H92">
        <v>0</v>
      </c>
      <c r="I92" t="s">
        <v>28</v>
      </c>
      <c r="J92" t="s">
        <v>162</v>
      </c>
      <c r="K92" t="s">
        <v>215</v>
      </c>
      <c r="L92" t="str">
        <f>HYPERLINK("https://tbc.wowhead.com/item=29370","[Ikone des Silberwappens]")</f>
        <v>[Ikone des Silberwappens]</v>
      </c>
      <c r="M92" t="str">
        <f>HYPERLINK("https://tbc.wowhead.com/item=27529","[Figur des Kolosses]")</f>
        <v>[Figur des Kolosses]</v>
      </c>
      <c r="N92" t="s">
        <v>121</v>
      </c>
      <c r="O92" t="b">
        <v>0</v>
      </c>
      <c r="P92" t="s">
        <v>25</v>
      </c>
      <c r="Q92" t="s">
        <v>62</v>
      </c>
      <c r="R92" t="s">
        <v>63</v>
      </c>
      <c r="T92" t="s">
        <v>135</v>
      </c>
      <c r="U92" s="4">
        <f t="shared" si="2"/>
        <v>46170</v>
      </c>
    </row>
    <row r="93" spans="1:21" x14ac:dyDescent="0.25">
      <c r="A93" t="s">
        <v>135</v>
      </c>
      <c r="B93" s="1">
        <v>46170</v>
      </c>
      <c r="C93" s="2">
        <v>0.84444444444444444</v>
      </c>
      <c r="D93" t="str">
        <f>HYPERLINK("https://tbc.wowhead.com/item=30027","[Stiefel des endlosen Mutes]")</f>
        <v>[Stiefel des endlosen Mutes]</v>
      </c>
      <c r="E93">
        <v>30027</v>
      </c>
      <c r="F93" t="s">
        <v>216</v>
      </c>
      <c r="G93" t="s">
        <v>217</v>
      </c>
      <c r="H93">
        <v>0</v>
      </c>
      <c r="I93" t="s">
        <v>51</v>
      </c>
      <c r="J93" t="s">
        <v>162</v>
      </c>
      <c r="K93" t="s">
        <v>49</v>
      </c>
      <c r="L93" t="str">
        <f>HYPERLINK("https://tbc.wowhead.com/item=32790","[Lederstiefel des Veteranen]")</f>
        <v>[Lederstiefel des Veteranen]</v>
      </c>
      <c r="N93">
        <v>1</v>
      </c>
      <c r="O93" t="b">
        <v>1</v>
      </c>
      <c r="P93" t="s">
        <v>25</v>
      </c>
      <c r="Q93" t="s">
        <v>30</v>
      </c>
      <c r="R93" t="s">
        <v>112</v>
      </c>
      <c r="T93" t="s">
        <v>135</v>
      </c>
      <c r="U93" s="4">
        <f t="shared" si="2"/>
        <v>46170</v>
      </c>
    </row>
    <row r="94" spans="1:21" x14ac:dyDescent="0.25">
      <c r="A94" t="s">
        <v>135</v>
      </c>
      <c r="B94" s="1">
        <v>46170</v>
      </c>
      <c r="C94" s="2">
        <v>0.84444444444444444</v>
      </c>
      <c r="D94" t="str">
        <f>HYPERLINK("https://tbc.wowhead.com/item=30027","[Stiefel des endlosen Mutes]")</f>
        <v>[Stiefel des endlosen Mutes]</v>
      </c>
      <c r="E94">
        <v>30027</v>
      </c>
      <c r="F94" t="s">
        <v>216</v>
      </c>
      <c r="G94" t="s">
        <v>217</v>
      </c>
      <c r="H94">
        <v>0</v>
      </c>
      <c r="I94" t="s">
        <v>51</v>
      </c>
      <c r="J94" t="s">
        <v>162</v>
      </c>
      <c r="K94" t="s">
        <v>49</v>
      </c>
      <c r="L94" t="str">
        <f>HYPERLINK("https://tbc.wowhead.com/item=32790","[Lederstiefel des Veteranen]")</f>
        <v>[Lederstiefel des Veteranen]</v>
      </c>
      <c r="N94">
        <v>1</v>
      </c>
      <c r="O94" t="b">
        <v>1</v>
      </c>
      <c r="P94" t="s">
        <v>25</v>
      </c>
      <c r="Q94" t="s">
        <v>30</v>
      </c>
      <c r="R94" t="s">
        <v>112</v>
      </c>
      <c r="T94" t="s">
        <v>135</v>
      </c>
      <c r="U94" s="4">
        <f t="shared" si="2"/>
        <v>46170</v>
      </c>
    </row>
    <row r="95" spans="1:21" x14ac:dyDescent="0.25">
      <c r="A95" t="s">
        <v>135</v>
      </c>
      <c r="B95" s="1">
        <v>46170</v>
      </c>
      <c r="C95" s="2">
        <v>0.84583333333333333</v>
      </c>
      <c r="D95" t="str">
        <f>HYPERLINK("https://tbc.wowhead.com/item=30246","[Gamaschen des bezwungenen Verteidigers]")</f>
        <v>[Gamaschen des bezwungenen Verteidigers]</v>
      </c>
      <c r="E95">
        <v>30246</v>
      </c>
      <c r="F95" t="s">
        <v>66</v>
      </c>
      <c r="G95" t="s">
        <v>22</v>
      </c>
      <c r="H95">
        <v>3</v>
      </c>
      <c r="I95" t="s">
        <v>51</v>
      </c>
      <c r="J95" t="s">
        <v>162</v>
      </c>
      <c r="K95" t="s">
        <v>45</v>
      </c>
      <c r="L95" t="str">
        <f>HYPERLINK("https://tbc.wowhead.com/item=29099","[Malornes Schienbeinschützer]")</f>
        <v>[Malornes Schienbeinschützer]</v>
      </c>
      <c r="N95">
        <v>1</v>
      </c>
      <c r="O95" t="b">
        <v>0</v>
      </c>
      <c r="P95" t="s">
        <v>25</v>
      </c>
      <c r="Q95" t="s">
        <v>26</v>
      </c>
      <c r="T95" t="s">
        <v>135</v>
      </c>
      <c r="U95" s="4">
        <f t="shared" si="2"/>
        <v>46170</v>
      </c>
    </row>
    <row r="96" spans="1:21" x14ac:dyDescent="0.25">
      <c r="A96" t="s">
        <v>135</v>
      </c>
      <c r="B96" s="1">
        <v>46170</v>
      </c>
      <c r="C96" s="2">
        <v>0.90486111111111112</v>
      </c>
      <c r="D96" t="str">
        <f>HYPERLINK("https://tbc.wowhead.com/item=29753","[Brustschutz des gefallenen Verteidigers]")</f>
        <v>[Brustschutz des gefallenen Verteidigers]</v>
      </c>
      <c r="E96">
        <v>29753</v>
      </c>
      <c r="F96" t="s">
        <v>204</v>
      </c>
      <c r="G96" t="s">
        <v>217</v>
      </c>
      <c r="H96">
        <v>0</v>
      </c>
      <c r="I96" t="s">
        <v>51</v>
      </c>
      <c r="J96" t="s">
        <v>200</v>
      </c>
      <c r="K96" t="s">
        <v>201</v>
      </c>
      <c r="L96" t="str">
        <f>HYPERLINK("https://tbc.wowhead.com/item=29096","[Malornes Brustplatte]")</f>
        <v>[Malornes Brustplatte]</v>
      </c>
      <c r="N96">
        <v>1</v>
      </c>
      <c r="O96" t="b">
        <v>1</v>
      </c>
      <c r="P96" t="s">
        <v>25</v>
      </c>
      <c r="Q96" t="s">
        <v>26</v>
      </c>
      <c r="T96" t="s">
        <v>135</v>
      </c>
      <c r="U96" s="4">
        <f t="shared" si="2"/>
        <v>46170</v>
      </c>
    </row>
    <row r="97" spans="1:21" x14ac:dyDescent="0.25">
      <c r="A97" t="s">
        <v>70</v>
      </c>
      <c r="B97" s="1">
        <v>46170</v>
      </c>
      <c r="C97" s="2">
        <v>0.80208333333333337</v>
      </c>
      <c r="D97" t="str">
        <f>HYPERLINK("https://tbc.wowhead.com/item=30050","[Stiefel des sich wandelnden Alptraums]")</f>
        <v>[Stiefel des sich wandelnden Alptraums]</v>
      </c>
      <c r="E97">
        <v>30050</v>
      </c>
      <c r="F97" t="s">
        <v>218</v>
      </c>
      <c r="G97" t="s">
        <v>54</v>
      </c>
      <c r="H97">
        <v>3</v>
      </c>
      <c r="I97" t="s">
        <v>23</v>
      </c>
      <c r="J97" t="s">
        <v>162</v>
      </c>
      <c r="K97" t="s">
        <v>215</v>
      </c>
      <c r="L97" t="str">
        <f>HYPERLINK("https://tbc.wowhead.com/item=27821","[Extravagante Stiefel der Bosheit]")</f>
        <v>[Extravagante Stiefel der Bosheit]</v>
      </c>
      <c r="N97">
        <v>2</v>
      </c>
      <c r="O97" t="b">
        <v>0</v>
      </c>
      <c r="P97" t="s">
        <v>25</v>
      </c>
      <c r="Q97" t="s">
        <v>60</v>
      </c>
      <c r="R97" t="s">
        <v>112</v>
      </c>
      <c r="S97" t="s">
        <v>219</v>
      </c>
      <c r="T97" t="s">
        <v>135</v>
      </c>
      <c r="U97" s="4">
        <f t="shared" si="2"/>
        <v>46170</v>
      </c>
    </row>
    <row r="98" spans="1:21" x14ac:dyDescent="0.25">
      <c r="A98" t="s">
        <v>115</v>
      </c>
      <c r="B98" s="1">
        <v>46170</v>
      </c>
      <c r="C98" s="2">
        <v>0.83680555555555558</v>
      </c>
      <c r="D98" t="str">
        <f>HYPERLINK("https://tbc.wowhead.com/item=30240","[Handschuhe des bezwungenen Verteidigers]")</f>
        <v>[Handschuhe des bezwungenen Verteidigers]</v>
      </c>
      <c r="E98">
        <v>30240</v>
      </c>
      <c r="F98" t="s">
        <v>109</v>
      </c>
      <c r="G98" t="s">
        <v>34</v>
      </c>
      <c r="H98">
        <v>2</v>
      </c>
      <c r="I98" t="s">
        <v>81</v>
      </c>
      <c r="J98" t="s">
        <v>162</v>
      </c>
      <c r="K98" t="s">
        <v>49</v>
      </c>
      <c r="L98" t="str">
        <f>HYPERLINK("https://tbc.wowhead.com/item=30644","[Handschutz des Geschicks]")</f>
        <v>[Handschutz des Geschicks]</v>
      </c>
      <c r="N98">
        <v>3</v>
      </c>
      <c r="O98" t="b">
        <v>0</v>
      </c>
      <c r="P98" t="s">
        <v>25</v>
      </c>
      <c r="Q98" t="s">
        <v>26</v>
      </c>
      <c r="T98" t="s">
        <v>135</v>
      </c>
      <c r="U98" s="4">
        <f t="shared" ref="U98:U129" si="3">IF(B98="","",B98)</f>
        <v>46170</v>
      </c>
    </row>
    <row r="99" spans="1:21" x14ac:dyDescent="0.25">
      <c r="A99" t="s">
        <v>115</v>
      </c>
      <c r="B99" s="1">
        <v>46170</v>
      </c>
      <c r="C99" s="2">
        <v>0.87916666666666665</v>
      </c>
      <c r="D99" t="str">
        <f>HYPERLINK("https://tbc.wowhead.com/item=30106","[Gürtel der hundert Tode]")</f>
        <v>[Gürtel der hundert Tode]</v>
      </c>
      <c r="E99">
        <v>30106</v>
      </c>
      <c r="F99" t="s">
        <v>108</v>
      </c>
      <c r="G99" t="s">
        <v>22</v>
      </c>
      <c r="H99">
        <v>3</v>
      </c>
      <c r="I99" t="s">
        <v>81</v>
      </c>
      <c r="J99" t="s">
        <v>162</v>
      </c>
      <c r="K99" t="s">
        <v>24</v>
      </c>
      <c r="L99" t="str">
        <f>HYPERLINK("https://tbc.wowhead.com/item=28385","[Plattengürtel des Kriegsherren]")</f>
        <v>[Plattengürtel des Kriegsherren]</v>
      </c>
      <c r="N99">
        <v>1</v>
      </c>
      <c r="O99" t="b">
        <v>0</v>
      </c>
      <c r="P99" t="s">
        <v>25</v>
      </c>
      <c r="Q99" t="s">
        <v>37</v>
      </c>
      <c r="R99" t="s">
        <v>55</v>
      </c>
      <c r="T99" t="s">
        <v>135</v>
      </c>
      <c r="U99" s="4">
        <f t="shared" si="3"/>
        <v>46170</v>
      </c>
    </row>
    <row r="100" spans="1:21" x14ac:dyDescent="0.25">
      <c r="A100" t="s">
        <v>115</v>
      </c>
      <c r="B100" s="1">
        <v>46170</v>
      </c>
      <c r="C100" s="2">
        <v>0.89097222222222228</v>
      </c>
      <c r="D100" t="str">
        <f>HYPERLINK("https://tbc.wowhead.com/item=28830","[Drachenwirbeltrophäe]")</f>
        <v>[Drachenwirbeltrophäe]</v>
      </c>
      <c r="E100">
        <v>28830</v>
      </c>
      <c r="F100" t="s">
        <v>220</v>
      </c>
      <c r="G100" t="s">
        <v>22</v>
      </c>
      <c r="H100">
        <v>2</v>
      </c>
      <c r="I100" t="s">
        <v>81</v>
      </c>
      <c r="J100" t="s">
        <v>196</v>
      </c>
      <c r="K100" t="s">
        <v>197</v>
      </c>
      <c r="L100" t="str">
        <f>HYPERLINK("https://tbc.wowhead.com/item=28034","[Stundenglas des Entwirrers]")</f>
        <v>[Stundenglas des Entwirrers]</v>
      </c>
      <c r="M100" t="str">
        <f>HYPERLINK("https://tbc.wowhead.com/item=29383","[Kampfrauschbrosche]")</f>
        <v>[Kampfrauschbrosche]</v>
      </c>
      <c r="N100">
        <v>1</v>
      </c>
      <c r="O100" t="b">
        <v>0</v>
      </c>
      <c r="P100" t="s">
        <v>25</v>
      </c>
      <c r="Q100" t="s">
        <v>62</v>
      </c>
      <c r="R100" t="s">
        <v>63</v>
      </c>
      <c r="T100" t="s">
        <v>135</v>
      </c>
      <c r="U100" s="4">
        <f t="shared" si="3"/>
        <v>46170</v>
      </c>
    </row>
    <row r="101" spans="1:21" x14ac:dyDescent="0.25">
      <c r="A101" t="s">
        <v>192</v>
      </c>
      <c r="B101" s="1">
        <v>46170</v>
      </c>
      <c r="C101" s="2">
        <v>0.81527777777777777</v>
      </c>
      <c r="D101" t="str">
        <f>HYPERLINK("https://tbc.wowhead.com/item=30063","[Buchband der absoluten Wahrheit]")</f>
        <v>[Buchband der absoluten Wahrheit]</v>
      </c>
      <c r="E101">
        <v>30063</v>
      </c>
      <c r="F101" t="s">
        <v>221</v>
      </c>
      <c r="G101" t="s">
        <v>34</v>
      </c>
      <c r="H101">
        <v>3</v>
      </c>
      <c r="I101" t="s">
        <v>28</v>
      </c>
      <c r="J101" t="s">
        <v>162</v>
      </c>
      <c r="K101" t="s">
        <v>202</v>
      </c>
      <c r="N101">
        <v>3</v>
      </c>
      <c r="O101" t="b">
        <v>0</v>
      </c>
      <c r="P101" t="s">
        <v>25</v>
      </c>
      <c r="Q101" t="s">
        <v>222</v>
      </c>
      <c r="R101" t="s">
        <v>47</v>
      </c>
      <c r="T101" t="s">
        <v>135</v>
      </c>
      <c r="U101" s="4">
        <f t="shared" si="3"/>
        <v>46170</v>
      </c>
    </row>
    <row r="102" spans="1:21" x14ac:dyDescent="0.25">
      <c r="A102" t="s">
        <v>192</v>
      </c>
      <c r="B102" s="1">
        <v>46170</v>
      </c>
      <c r="C102" s="2">
        <v>0.83680555555555558</v>
      </c>
      <c r="D102" t="str">
        <f>HYPERLINK("https://tbc.wowhead.com/item=30239","[Handschuhe des bezwungenen Champions]")</f>
        <v>[Handschuhe des bezwungenen Champions]</v>
      </c>
      <c r="E102">
        <v>30239</v>
      </c>
      <c r="F102" t="s">
        <v>103</v>
      </c>
      <c r="G102" t="s">
        <v>54</v>
      </c>
      <c r="H102">
        <v>2</v>
      </c>
      <c r="I102" t="s">
        <v>28</v>
      </c>
      <c r="J102" t="s">
        <v>162</v>
      </c>
      <c r="K102" t="s">
        <v>49</v>
      </c>
      <c r="L102" t="str">
        <f>HYPERLINK("https://tbc.wowhead.com/item=28505","[Stulpen der erneuten Hoffnung]")</f>
        <v>[Stulpen der erneuten Hoffnung]</v>
      </c>
      <c r="N102">
        <v>2</v>
      </c>
      <c r="O102" t="b">
        <v>0</v>
      </c>
      <c r="P102" t="s">
        <v>25</v>
      </c>
      <c r="Q102" t="s">
        <v>26</v>
      </c>
      <c r="T102" t="s">
        <v>135</v>
      </c>
      <c r="U102" s="4">
        <f t="shared" si="3"/>
        <v>46170</v>
      </c>
    </row>
    <row r="103" spans="1:21" x14ac:dyDescent="0.25">
      <c r="A103" t="s">
        <v>192</v>
      </c>
      <c r="B103" s="1">
        <v>46170</v>
      </c>
      <c r="C103" s="2">
        <v>0.83680555555555558</v>
      </c>
      <c r="D103" t="str">
        <f>HYPERLINK("https://tbc.wowhead.com/item=30097","[Stachelige Korallenschulterpolster]")</f>
        <v>[Stachelige Korallenschulterpolster]</v>
      </c>
      <c r="E103">
        <v>30097</v>
      </c>
      <c r="F103" t="s">
        <v>102</v>
      </c>
      <c r="G103" t="s">
        <v>34</v>
      </c>
      <c r="H103">
        <v>2</v>
      </c>
      <c r="I103" t="s">
        <v>28</v>
      </c>
      <c r="J103" t="s">
        <v>162</v>
      </c>
      <c r="K103" t="s">
        <v>49</v>
      </c>
      <c r="L103" t="str">
        <f>HYPERLINK("https://tbc.wowhead.com/item=30084","[Schulterstücke der Argentumschildwache]")</f>
        <v>[Schulterstücke der Argentumschildwache]</v>
      </c>
      <c r="N103">
        <v>3</v>
      </c>
      <c r="O103" t="b">
        <v>0</v>
      </c>
      <c r="P103" t="s">
        <v>25</v>
      </c>
      <c r="Q103" t="s">
        <v>83</v>
      </c>
      <c r="R103" t="s">
        <v>31</v>
      </c>
      <c r="T103" t="s">
        <v>135</v>
      </c>
      <c r="U103" s="4">
        <f t="shared" si="3"/>
        <v>46170</v>
      </c>
    </row>
    <row r="104" spans="1:21" x14ac:dyDescent="0.25">
      <c r="A104" t="s">
        <v>192</v>
      </c>
      <c r="B104" s="1">
        <v>46170</v>
      </c>
      <c r="C104" s="2">
        <v>0.89444444444444449</v>
      </c>
      <c r="D104" t="str">
        <f>HYPERLINK("https://tbc.wowhead.com/item=29763","[Schulterstücke des gefallenen Champions]")</f>
        <v>[Schulterstücke des gefallenen Champions]</v>
      </c>
      <c r="E104">
        <v>29763</v>
      </c>
      <c r="F104" t="s">
        <v>223</v>
      </c>
      <c r="G104" t="s">
        <v>22</v>
      </c>
      <c r="H104">
        <v>2</v>
      </c>
      <c r="I104" t="s">
        <v>28</v>
      </c>
      <c r="J104" t="s">
        <v>196</v>
      </c>
      <c r="K104" t="s">
        <v>197</v>
      </c>
      <c r="L104" t="str">
        <f>HYPERLINK("https://tbc.wowhead.com/item=30084","[Schulterstücke der Argentumschildwache]")</f>
        <v>[Schulterstücke der Argentumschildwache]</v>
      </c>
      <c r="N104">
        <v>1</v>
      </c>
      <c r="O104" t="b">
        <v>0</v>
      </c>
      <c r="P104" t="s">
        <v>25</v>
      </c>
      <c r="Q104" t="s">
        <v>26</v>
      </c>
      <c r="T104" t="s">
        <v>135</v>
      </c>
      <c r="U104" s="4">
        <f t="shared" si="3"/>
        <v>46170</v>
      </c>
    </row>
    <row r="105" spans="1:21" x14ac:dyDescent="0.25">
      <c r="A105" t="s">
        <v>192</v>
      </c>
      <c r="B105" s="1">
        <v>46170</v>
      </c>
      <c r="C105" s="2">
        <v>0.89444444444444449</v>
      </c>
      <c r="D105" t="str">
        <f>HYPERLINK("https://tbc.wowhead.com/item=29766","[Gamaschen des gefallenen Champions]")</f>
        <v>[Gamaschen des gefallenen Champions]</v>
      </c>
      <c r="E105">
        <v>29766</v>
      </c>
      <c r="F105" t="s">
        <v>224</v>
      </c>
      <c r="G105" t="s">
        <v>54</v>
      </c>
      <c r="H105">
        <v>3</v>
      </c>
      <c r="I105" t="s">
        <v>28</v>
      </c>
      <c r="J105" t="s">
        <v>196</v>
      </c>
      <c r="K105" t="s">
        <v>197</v>
      </c>
      <c r="L105" t="str">
        <f>HYPERLINK("https://tbc.wowhead.com/item=28748","[Beinplatten des Unschuldigen]")</f>
        <v>[Beinplatten des Unschuldigen]</v>
      </c>
      <c r="N105">
        <v>2</v>
      </c>
      <c r="O105" t="b">
        <v>0</v>
      </c>
      <c r="P105" t="s">
        <v>25</v>
      </c>
      <c r="Q105" t="s">
        <v>26</v>
      </c>
      <c r="T105" t="s">
        <v>135</v>
      </c>
      <c r="U105" s="4">
        <f t="shared" si="3"/>
        <v>46170</v>
      </c>
    </row>
    <row r="106" spans="1:21" x14ac:dyDescent="0.25">
      <c r="A106" t="s">
        <v>132</v>
      </c>
      <c r="B106" s="1">
        <v>46170</v>
      </c>
      <c r="C106" s="2">
        <v>0.84513888888888888</v>
      </c>
      <c r="D106" t="str">
        <f>HYPERLINK("https://tbc.wowhead.com/item=30247","[Gamaschen des bezwungenen Helden]")</f>
        <v>[Gamaschen des bezwungenen Helden]</v>
      </c>
      <c r="E106">
        <v>30247</v>
      </c>
      <c r="F106" t="s">
        <v>134</v>
      </c>
      <c r="G106" t="s">
        <v>22</v>
      </c>
      <c r="H106">
        <v>2</v>
      </c>
      <c r="I106" t="s">
        <v>23</v>
      </c>
      <c r="J106" t="s">
        <v>162</v>
      </c>
      <c r="K106" t="s">
        <v>45</v>
      </c>
      <c r="L106" t="str">
        <f>HYPERLINK("https://tbc.wowhead.com/item=24262","[Hose des Zauberschlags]")</f>
        <v>[Hose des Zauberschlags]</v>
      </c>
      <c r="N106">
        <v>1</v>
      </c>
      <c r="O106" t="b">
        <v>0</v>
      </c>
      <c r="P106" t="s">
        <v>25</v>
      </c>
      <c r="Q106" t="s">
        <v>26</v>
      </c>
      <c r="T106" t="s">
        <v>135</v>
      </c>
      <c r="U106" s="4">
        <f t="shared" si="3"/>
        <v>46170</v>
      </c>
    </row>
    <row r="107" spans="1:21" x14ac:dyDescent="0.25">
      <c r="A107" t="s">
        <v>128</v>
      </c>
      <c r="B107" s="1">
        <v>46170</v>
      </c>
      <c r="C107" s="2">
        <v>0.85833333333333328</v>
      </c>
      <c r="D107" t="str">
        <f>HYPERLINK("https://tbc.wowhead.com/item=30720","[Flechte der Schlangenschlinge]")</f>
        <v>[Flechte der Schlangenschlinge]</v>
      </c>
      <c r="E107">
        <v>30720</v>
      </c>
      <c r="F107" t="s">
        <v>61</v>
      </c>
      <c r="G107" t="s">
        <v>225</v>
      </c>
      <c r="H107">
        <v>4</v>
      </c>
      <c r="I107" t="s">
        <v>57</v>
      </c>
      <c r="J107" t="s">
        <v>162</v>
      </c>
      <c r="K107" t="s">
        <v>29</v>
      </c>
      <c r="N107" t="s">
        <v>226</v>
      </c>
      <c r="O107" t="b">
        <v>0</v>
      </c>
      <c r="P107" t="s">
        <v>25</v>
      </c>
      <c r="Q107" t="s">
        <v>62</v>
      </c>
      <c r="R107" t="s">
        <v>63</v>
      </c>
      <c r="T107" t="s">
        <v>135</v>
      </c>
      <c r="U107" s="4">
        <f t="shared" si="3"/>
        <v>46170</v>
      </c>
    </row>
    <row r="108" spans="1:21" x14ac:dyDescent="0.25">
      <c r="A108" t="s">
        <v>79</v>
      </c>
      <c r="B108" s="1">
        <v>46170</v>
      </c>
      <c r="C108" s="2">
        <v>0.85833333333333328</v>
      </c>
      <c r="D108" t="str">
        <f>HYPERLINK("https://tbc.wowhead.com/item=30081","[Kriegsstiefel der Auslöschung]")</f>
        <v>[Kriegsstiefel der Auslöschung]</v>
      </c>
      <c r="E108">
        <v>30081</v>
      </c>
      <c r="F108" t="s">
        <v>111</v>
      </c>
      <c r="G108" t="s">
        <v>22</v>
      </c>
      <c r="H108">
        <v>3</v>
      </c>
      <c r="I108" t="s">
        <v>81</v>
      </c>
      <c r="J108" t="s">
        <v>162</v>
      </c>
      <c r="K108" t="s">
        <v>29</v>
      </c>
      <c r="L108" t="str">
        <f>HYPERLINK("https://tbc.wowhead.com/item=28608","[Eisenschreiter der Dringlichkeit]")</f>
        <v>[Eisenschreiter der Dringlichkeit]</v>
      </c>
      <c r="N108">
        <v>1</v>
      </c>
      <c r="O108" t="b">
        <v>0</v>
      </c>
      <c r="P108" t="s">
        <v>25</v>
      </c>
      <c r="Q108" t="s">
        <v>30</v>
      </c>
      <c r="R108" t="s">
        <v>112</v>
      </c>
      <c r="T108" t="s">
        <v>135</v>
      </c>
      <c r="U108" s="4">
        <f t="shared" si="3"/>
        <v>46170</v>
      </c>
    </row>
    <row r="109" spans="1:21" x14ac:dyDescent="0.25">
      <c r="A109" t="s">
        <v>79</v>
      </c>
      <c r="B109" s="1">
        <v>46170</v>
      </c>
      <c r="C109" s="2">
        <v>0.90555555555555556</v>
      </c>
      <c r="D109" t="str">
        <f>HYPERLINK("https://tbc.wowhead.com/item=29753","[Brustschutz des gefallenen Verteidigers]")</f>
        <v>[Brustschutz des gefallenen Verteidigers]</v>
      </c>
      <c r="E109">
        <v>29753</v>
      </c>
      <c r="F109" t="s">
        <v>204</v>
      </c>
      <c r="G109" t="s">
        <v>22</v>
      </c>
      <c r="H109">
        <v>0</v>
      </c>
      <c r="I109" t="s">
        <v>81</v>
      </c>
      <c r="J109" t="s">
        <v>200</v>
      </c>
      <c r="K109" t="s">
        <v>201</v>
      </c>
      <c r="L109" t="str">
        <f>HYPERLINK("https://tbc.wowhead.com/item=28601","[Brustschutz des Verschwörers]")</f>
        <v>[Brustschutz des Verschwörers]</v>
      </c>
      <c r="N109">
        <v>1</v>
      </c>
      <c r="O109" t="b">
        <v>0</v>
      </c>
      <c r="P109" t="s">
        <v>25</v>
      </c>
      <c r="Q109" t="s">
        <v>26</v>
      </c>
      <c r="T109" t="s">
        <v>135</v>
      </c>
      <c r="U109" s="4">
        <f t="shared" si="3"/>
        <v>46170</v>
      </c>
    </row>
    <row r="110" spans="1:21" x14ac:dyDescent="0.25">
      <c r="A110" t="s">
        <v>130</v>
      </c>
      <c r="B110" s="1">
        <v>46170</v>
      </c>
      <c r="C110" s="2">
        <v>0.80138888888888893</v>
      </c>
      <c r="D110" t="str">
        <f>HYPERLINK("https://tbc.wowhead.com/item=30054","[Brustschutz des Waldläufergenerals]")</f>
        <v>[Brustschutz des Waldläufergenerals]</v>
      </c>
      <c r="E110">
        <v>30054</v>
      </c>
      <c r="F110" t="s">
        <v>82</v>
      </c>
      <c r="G110" t="s">
        <v>34</v>
      </c>
      <c r="H110">
        <v>0</v>
      </c>
      <c r="I110" t="s">
        <v>41</v>
      </c>
      <c r="J110" t="s">
        <v>162</v>
      </c>
      <c r="K110" t="s">
        <v>215</v>
      </c>
      <c r="L110" t="str">
        <f>HYPERLINK("https://tbc.wowhead.com/item=28599","[Schuppenbrustplatte des Blutbads]")</f>
        <v>[Schuppenbrustplatte des Blutbads]</v>
      </c>
      <c r="N110">
        <v>3</v>
      </c>
      <c r="O110" t="b">
        <v>0</v>
      </c>
      <c r="P110" t="s">
        <v>25</v>
      </c>
      <c r="Q110" t="s">
        <v>83</v>
      </c>
      <c r="R110" t="s">
        <v>84</v>
      </c>
      <c r="T110" t="s">
        <v>135</v>
      </c>
      <c r="U110" s="4">
        <f t="shared" si="3"/>
        <v>46170</v>
      </c>
    </row>
    <row r="111" spans="1:21" x14ac:dyDescent="0.25">
      <c r="A111" t="s">
        <v>130</v>
      </c>
      <c r="B111" s="1">
        <v>46170</v>
      </c>
      <c r="C111" s="2">
        <v>0.89444444444444449</v>
      </c>
      <c r="D111" t="str">
        <f>HYPERLINK("https://tbc.wowhead.com/item=29766","[Gamaschen des gefallenen Champions]")</f>
        <v>[Gamaschen des gefallenen Champions]</v>
      </c>
      <c r="E111">
        <v>29766</v>
      </c>
      <c r="F111" t="s">
        <v>224</v>
      </c>
      <c r="G111" t="s">
        <v>22</v>
      </c>
      <c r="H111">
        <v>3</v>
      </c>
      <c r="I111" t="s">
        <v>41</v>
      </c>
      <c r="J111" t="s">
        <v>196</v>
      </c>
      <c r="K111" t="s">
        <v>197</v>
      </c>
      <c r="L111" t="str">
        <f>HYPERLINK("https://tbc.wowhead.com/item=30535","[Kilt des Waldhüters]")</f>
        <v>[Kilt des Waldhüters]</v>
      </c>
      <c r="N111">
        <v>1</v>
      </c>
      <c r="O111" t="b">
        <v>0</v>
      </c>
      <c r="P111" t="s">
        <v>25</v>
      </c>
      <c r="Q111" t="s">
        <v>26</v>
      </c>
      <c r="T111" t="s">
        <v>135</v>
      </c>
      <c r="U111" s="4">
        <f t="shared" si="3"/>
        <v>46170</v>
      </c>
    </row>
    <row r="112" spans="1:21" x14ac:dyDescent="0.25">
      <c r="A112" t="s">
        <v>183</v>
      </c>
      <c r="B112" s="1">
        <v>46170</v>
      </c>
      <c r="C112" s="2">
        <v>0.81527777777777777</v>
      </c>
      <c r="D112" t="str">
        <f>HYPERLINK("https://tbc.wowhead.com/item=30058","[Schlaghammer der Gezeiten]")</f>
        <v>[Schlaghammer der Gezeiten]</v>
      </c>
      <c r="E112">
        <v>30058</v>
      </c>
      <c r="F112" t="s">
        <v>227</v>
      </c>
      <c r="G112" t="s">
        <v>44</v>
      </c>
      <c r="H112">
        <v>0</v>
      </c>
      <c r="I112" t="s">
        <v>81</v>
      </c>
      <c r="J112" t="s">
        <v>162</v>
      </c>
      <c r="K112" t="s">
        <v>202</v>
      </c>
      <c r="L112" t="str">
        <f>HYPERLINK("https://tbc.wowhead.com/item=28438","[Drachenmal]")</f>
        <v>[Drachenmal]</v>
      </c>
      <c r="N112">
        <v>4</v>
      </c>
      <c r="O112" t="b">
        <v>0</v>
      </c>
      <c r="P112" t="s">
        <v>25</v>
      </c>
      <c r="Q112" t="s">
        <v>207</v>
      </c>
      <c r="R112" t="s">
        <v>208</v>
      </c>
      <c r="T112" t="s">
        <v>135</v>
      </c>
      <c r="U112" s="4">
        <f t="shared" si="3"/>
        <v>46170</v>
      </c>
    </row>
    <row r="113" spans="1:22" x14ac:dyDescent="0.25">
      <c r="A113" t="s">
        <v>183</v>
      </c>
      <c r="B113" s="1">
        <v>46170</v>
      </c>
      <c r="C113" s="2">
        <v>0.83680555555555558</v>
      </c>
      <c r="D113" t="str">
        <f>HYPERLINK("https://tbc.wowhead.com/item=30240","[Handschuhe des bezwungenen Verteidigers]")</f>
        <v>[Handschuhe des bezwungenen Verteidigers]</v>
      </c>
      <c r="E113">
        <v>30240</v>
      </c>
      <c r="F113" t="s">
        <v>109</v>
      </c>
      <c r="G113" t="s">
        <v>22</v>
      </c>
      <c r="H113">
        <v>2</v>
      </c>
      <c r="I113" t="s">
        <v>81</v>
      </c>
      <c r="J113" t="s">
        <v>162</v>
      </c>
      <c r="K113" t="s">
        <v>49</v>
      </c>
      <c r="L113" t="str">
        <f>HYPERLINK("https://tbc.wowhead.com/item=28824","[Stulpen der Kampfvollendung]")</f>
        <v>[Stulpen der Kampfvollendung]</v>
      </c>
      <c r="N113">
        <v>1</v>
      </c>
      <c r="O113" t="b">
        <v>0</v>
      </c>
      <c r="P113" t="s">
        <v>25</v>
      </c>
      <c r="Q113" t="s">
        <v>26</v>
      </c>
      <c r="T113" t="s">
        <v>135</v>
      </c>
      <c r="U113" s="4">
        <f t="shared" si="3"/>
        <v>46170</v>
      </c>
    </row>
    <row r="114" spans="1:22" x14ac:dyDescent="0.25">
      <c r="A114" t="s">
        <v>65</v>
      </c>
      <c r="B114" s="1">
        <v>46170</v>
      </c>
      <c r="C114" s="2">
        <v>0.90625</v>
      </c>
      <c r="D114" t="str">
        <f>HYPERLINK("https://tbc.wowhead.com/item=28789","[Magtheridons Auge]")</f>
        <v>[Magtheridons Auge]</v>
      </c>
      <c r="E114">
        <v>28789</v>
      </c>
      <c r="F114" t="s">
        <v>228</v>
      </c>
      <c r="G114" t="s">
        <v>22</v>
      </c>
      <c r="H114">
        <v>3</v>
      </c>
      <c r="I114" t="s">
        <v>67</v>
      </c>
      <c r="J114" t="s">
        <v>200</v>
      </c>
      <c r="K114" t="s">
        <v>201</v>
      </c>
      <c r="L114" t="str">
        <f>HYPERLINK("https://tbc.wowhead.com/item=27683","[Quagmirrans Auge]")</f>
        <v>[Quagmirrans Auge]</v>
      </c>
      <c r="M114" t="str">
        <f>HYPERLINK("https://tbc.wowhead.com/item=29370","[Ikone des Silberwappens]")</f>
        <v>[Ikone des Silberwappens]</v>
      </c>
      <c r="N114">
        <v>1</v>
      </c>
      <c r="O114" t="b">
        <v>0</v>
      </c>
      <c r="P114" t="s">
        <v>25</v>
      </c>
      <c r="Q114" t="s">
        <v>62</v>
      </c>
      <c r="R114" t="s">
        <v>63</v>
      </c>
      <c r="T114" t="s">
        <v>135</v>
      </c>
      <c r="U114" s="4">
        <f t="shared" si="3"/>
        <v>46170</v>
      </c>
    </row>
    <row r="115" spans="1:22" x14ac:dyDescent="0.25">
      <c r="A115" s="17" t="s">
        <v>79</v>
      </c>
      <c r="B115" s="18">
        <v>46174</v>
      </c>
      <c r="C115" s="2">
        <v>0.84930555555555554</v>
      </c>
      <c r="D115" s="17" t="str">
        <f>HYPERLINK("https://tbc.wowhead.com/item=29993","[Zwillingsklinge des Phönix]")</f>
        <v>[Zwillingsklinge des Phönix]</v>
      </c>
      <c r="E115">
        <v>29993</v>
      </c>
      <c r="F115" t="s">
        <v>229</v>
      </c>
      <c r="G115" s="17" t="s">
        <v>22</v>
      </c>
      <c r="H115">
        <v>4</v>
      </c>
      <c r="I115" t="s">
        <v>81</v>
      </c>
      <c r="J115" t="s">
        <v>230</v>
      </c>
      <c r="K115" t="s">
        <v>231</v>
      </c>
      <c r="N115">
        <v>1</v>
      </c>
      <c r="O115" t="b">
        <v>0</v>
      </c>
      <c r="P115" t="s">
        <v>25</v>
      </c>
      <c r="Q115" t="s">
        <v>232</v>
      </c>
      <c r="R115" t="s">
        <v>52</v>
      </c>
      <c r="T115" t="s">
        <v>135</v>
      </c>
      <c r="U115" s="4">
        <f t="shared" si="3"/>
        <v>46174</v>
      </c>
      <c r="V115" s="17" t="s">
        <v>243</v>
      </c>
    </row>
    <row r="116" spans="1:22" x14ac:dyDescent="0.25">
      <c r="A116" s="17" t="s">
        <v>233</v>
      </c>
      <c r="B116" s="18">
        <v>46174</v>
      </c>
      <c r="C116" s="2">
        <v>0.81805555555555554</v>
      </c>
      <c r="D116" s="17" t="str">
        <f>HYPERLINK("https://tbc.wowhead.com/item=29984","[Gurt von Zaetar]")</f>
        <v>[Gurt von Zaetar]</v>
      </c>
      <c r="E116">
        <v>29984</v>
      </c>
      <c r="F116" t="s">
        <v>53</v>
      </c>
      <c r="G116" s="17" t="s">
        <v>54</v>
      </c>
      <c r="H116">
        <v>4</v>
      </c>
      <c r="I116" t="s">
        <v>41</v>
      </c>
      <c r="J116" t="s">
        <v>230</v>
      </c>
      <c r="K116" t="s">
        <v>234</v>
      </c>
      <c r="L116" t="str">
        <f>HYPERLINK("https://tbc.wowhead.com/item=32998","[Ringpanzergurt des Veteranen]")</f>
        <v>[Ringpanzergurt des Veteranen]</v>
      </c>
      <c r="N116">
        <v>2</v>
      </c>
      <c r="O116" t="b">
        <v>0</v>
      </c>
      <c r="P116" t="s">
        <v>25</v>
      </c>
      <c r="Q116" t="s">
        <v>37</v>
      </c>
      <c r="R116" t="s">
        <v>55</v>
      </c>
      <c r="T116" t="s">
        <v>135</v>
      </c>
      <c r="U116" s="4">
        <f t="shared" si="3"/>
        <v>46174</v>
      </c>
      <c r="V116" s="17" t="s">
        <v>243</v>
      </c>
    </row>
    <row r="117" spans="1:22" x14ac:dyDescent="0.25">
      <c r="A117" s="17" t="s">
        <v>170</v>
      </c>
      <c r="B117" s="18">
        <v>46174</v>
      </c>
      <c r="C117" s="2">
        <v>0.85</v>
      </c>
      <c r="D117" s="17" t="str">
        <f>HYPERLINK("https://tbc.wowhead.com/item=29987","[Stulpen des Sonnenkönigs]")</f>
        <v>[Stulpen des Sonnenkönigs]</v>
      </c>
      <c r="E117">
        <v>29987</v>
      </c>
      <c r="F117" t="s">
        <v>235</v>
      </c>
      <c r="G117" s="17" t="s">
        <v>22</v>
      </c>
      <c r="H117">
        <v>4</v>
      </c>
      <c r="I117" t="s">
        <v>57</v>
      </c>
      <c r="J117" t="s">
        <v>230</v>
      </c>
      <c r="K117" t="s">
        <v>231</v>
      </c>
      <c r="L117" t="str">
        <f>HYPERLINK("https://tbc.wowhead.com/item=29080","[Handschuhe der Aldor]")</f>
        <v>[Handschuhe der Aldor]</v>
      </c>
      <c r="N117">
        <v>1</v>
      </c>
      <c r="O117" t="b">
        <v>0</v>
      </c>
      <c r="P117" t="s">
        <v>25</v>
      </c>
      <c r="Q117" t="s">
        <v>60</v>
      </c>
      <c r="R117" t="s">
        <v>38</v>
      </c>
      <c r="T117" t="s">
        <v>135</v>
      </c>
      <c r="U117" s="4">
        <f t="shared" si="3"/>
        <v>46174</v>
      </c>
      <c r="V117" s="17" t="s">
        <v>243</v>
      </c>
    </row>
    <row r="118" spans="1:22" x14ac:dyDescent="0.25">
      <c r="A118" s="17" t="s">
        <v>192</v>
      </c>
      <c r="B118" s="18">
        <v>46174</v>
      </c>
      <c r="C118" s="2">
        <v>0.80972222222222223</v>
      </c>
      <c r="D118" s="17" t="str">
        <f>HYPERLINK("https://tbc.wowhead.com/item=30447","[Foliant der feurigen Erlösung]")</f>
        <v>[Foliant der feurigen Erlösung]</v>
      </c>
      <c r="E118">
        <v>30447</v>
      </c>
      <c r="F118" t="s">
        <v>180</v>
      </c>
      <c r="G118" s="17" t="s">
        <v>44</v>
      </c>
      <c r="H118">
        <v>3</v>
      </c>
      <c r="I118" t="s">
        <v>28</v>
      </c>
      <c r="J118" t="s">
        <v>230</v>
      </c>
      <c r="K118" t="s">
        <v>236</v>
      </c>
      <c r="L118" t="str">
        <f>HYPERLINK("https://tbc.wowhead.com/item=29376","[Essenz des Märtyrers]")</f>
        <v>[Essenz des Märtyrers]</v>
      </c>
      <c r="M118" t="str">
        <f>HYPERLINK("https://tbc.wowhead.com/item=28590","[Schleife der Opferung]")</f>
        <v>[Schleife der Opferung]</v>
      </c>
      <c r="N118">
        <v>4</v>
      </c>
      <c r="O118" t="b">
        <v>0</v>
      </c>
      <c r="P118" t="s">
        <v>25</v>
      </c>
      <c r="Q118" t="s">
        <v>62</v>
      </c>
      <c r="R118" t="s">
        <v>63</v>
      </c>
      <c r="T118" t="s">
        <v>135</v>
      </c>
      <c r="U118" s="4">
        <f t="shared" si="3"/>
        <v>46174</v>
      </c>
      <c r="V118" s="17" t="s">
        <v>243</v>
      </c>
    </row>
    <row r="119" spans="1:22" x14ac:dyDescent="0.25">
      <c r="A119" s="17" t="s">
        <v>135</v>
      </c>
      <c r="B119" s="18">
        <v>46174</v>
      </c>
      <c r="C119" s="2">
        <v>0.84861111111111109</v>
      </c>
      <c r="D119" s="17" t="str">
        <f>HYPERLINK("https://tbc.wowhead.com/item=30237","[Brustschutz des bezwungenen Verteidigers]")</f>
        <v>[Brustschutz des bezwungenen Verteidigers]</v>
      </c>
      <c r="E119">
        <v>30237</v>
      </c>
      <c r="F119" t="s">
        <v>125</v>
      </c>
      <c r="G119" s="17" t="s">
        <v>22</v>
      </c>
      <c r="H119">
        <v>4</v>
      </c>
      <c r="I119" t="s">
        <v>51</v>
      </c>
      <c r="J119" t="s">
        <v>230</v>
      </c>
      <c r="K119" t="s">
        <v>231</v>
      </c>
      <c r="L119" t="str">
        <f>HYPERLINK("https://tbc.wowhead.com/item=25689","[Schwere Grollhufweste]")</f>
        <v>[Schwere Grollhufweste]</v>
      </c>
      <c r="N119">
        <v>1</v>
      </c>
      <c r="O119" t="b">
        <v>0</v>
      </c>
      <c r="P119" t="s">
        <v>25</v>
      </c>
      <c r="Q119" t="s">
        <v>26</v>
      </c>
      <c r="T119" t="s">
        <v>135</v>
      </c>
      <c r="U119" s="4">
        <f t="shared" si="3"/>
        <v>46174</v>
      </c>
      <c r="V119" s="17" t="s">
        <v>243</v>
      </c>
    </row>
    <row r="120" spans="1:22" x14ac:dyDescent="0.25">
      <c r="A120" s="17" t="s">
        <v>56</v>
      </c>
      <c r="B120" s="18">
        <v>46174</v>
      </c>
      <c r="C120" s="2">
        <v>0.84930555555555554</v>
      </c>
      <c r="D120" s="17" t="str">
        <f>HYPERLINK("https://tbc.wowhead.com/item=30238","[Brustschutz des bezwungenen Helden]")</f>
        <v>[Brustschutz des bezwungenen Helden]</v>
      </c>
      <c r="E120">
        <v>30238</v>
      </c>
      <c r="F120" t="s">
        <v>98</v>
      </c>
      <c r="G120" s="17" t="s">
        <v>22</v>
      </c>
      <c r="H120">
        <v>3</v>
      </c>
      <c r="I120" t="s">
        <v>57</v>
      </c>
      <c r="J120" t="s">
        <v>230</v>
      </c>
      <c r="K120" t="s">
        <v>231</v>
      </c>
      <c r="L120" t="str">
        <f>HYPERLINK("https://tbc.wowhead.com/item=29077","[Gewänder der Aldor]")</f>
        <v>[Gewänder der Aldor]</v>
      </c>
      <c r="N120">
        <v>1</v>
      </c>
      <c r="O120" t="b">
        <v>0</v>
      </c>
      <c r="P120" t="s">
        <v>25</v>
      </c>
      <c r="Q120" t="s">
        <v>26</v>
      </c>
      <c r="S120" t="s">
        <v>237</v>
      </c>
      <c r="T120" t="s">
        <v>135</v>
      </c>
      <c r="U120" s="4">
        <f t="shared" si="3"/>
        <v>46174</v>
      </c>
      <c r="V120" s="17" t="s">
        <v>243</v>
      </c>
    </row>
    <row r="121" spans="1:22" x14ac:dyDescent="0.25">
      <c r="A121" s="17" t="s">
        <v>96</v>
      </c>
      <c r="B121" s="18">
        <v>46174</v>
      </c>
      <c r="C121" s="2">
        <v>0.81805555555555554</v>
      </c>
      <c r="D121" s="17" t="str">
        <f>HYPERLINK("https://tbc.wowhead.com/item=30250","[Schulterstücke des bezwungenen Helden]")</f>
        <v>[Schulterstücke des bezwungenen Helden]</v>
      </c>
      <c r="E121">
        <v>30250</v>
      </c>
      <c r="F121" t="s">
        <v>101</v>
      </c>
      <c r="G121" s="17" t="s">
        <v>22</v>
      </c>
      <c r="H121">
        <v>4</v>
      </c>
      <c r="I121" t="s">
        <v>97</v>
      </c>
      <c r="J121" t="s">
        <v>230</v>
      </c>
      <c r="K121" t="s">
        <v>234</v>
      </c>
      <c r="L121" t="str">
        <f>HYPERLINK("https://tbc.wowhead.com/item=27801","[Mantelung des Wildtierfürsten]")</f>
        <v>[Mantelung des Wildtierfürsten]</v>
      </c>
      <c r="N121">
        <v>1</v>
      </c>
      <c r="O121" t="b">
        <v>0</v>
      </c>
      <c r="P121" t="s">
        <v>25</v>
      </c>
      <c r="Q121" t="s">
        <v>26</v>
      </c>
      <c r="S121" t="s">
        <v>238</v>
      </c>
      <c r="T121" t="s">
        <v>135</v>
      </c>
      <c r="U121" s="4">
        <f t="shared" si="3"/>
        <v>46174</v>
      </c>
      <c r="V121" s="17" t="s">
        <v>243</v>
      </c>
    </row>
    <row r="122" spans="1:22" x14ac:dyDescent="0.25">
      <c r="A122" s="17" t="s">
        <v>128</v>
      </c>
      <c r="B122" s="18">
        <v>46174</v>
      </c>
      <c r="C122" s="2">
        <v>0.80694444444444446</v>
      </c>
      <c r="D122" s="17" t="str">
        <f>HYPERLINK("https://tbc.wowhead.com/item=29922","[Al'ars Band]")</f>
        <v>[Al'ars Band]</v>
      </c>
      <c r="E122">
        <v>29922</v>
      </c>
      <c r="F122" t="s">
        <v>239</v>
      </c>
      <c r="G122" s="17" t="s">
        <v>22</v>
      </c>
      <c r="H122">
        <v>3</v>
      </c>
      <c r="I122" t="s">
        <v>57</v>
      </c>
      <c r="J122" t="s">
        <v>230</v>
      </c>
      <c r="K122" t="s">
        <v>236</v>
      </c>
      <c r="L122" t="str">
        <f>HYPERLINK("https://tbc.wowhead.com/item=29285","[Violettes Siegel]")</f>
        <v>[Violettes Siegel]</v>
      </c>
      <c r="M122" t="str">
        <f>HYPERLINK("https://tbc.wowhead.com/item=28394","[Ryngos Band des Scharfsinns]")</f>
        <v>[Ryngos Band des Scharfsinns]</v>
      </c>
      <c r="N122">
        <v>1</v>
      </c>
      <c r="O122" t="b">
        <v>0</v>
      </c>
      <c r="P122" t="s">
        <v>25</v>
      </c>
      <c r="Q122" t="s">
        <v>62</v>
      </c>
      <c r="R122" t="s">
        <v>87</v>
      </c>
      <c r="T122" t="s">
        <v>135</v>
      </c>
      <c r="U122" s="4">
        <f t="shared" si="3"/>
        <v>46174</v>
      </c>
      <c r="V122" s="19" t="s">
        <v>245</v>
      </c>
    </row>
    <row r="123" spans="1:22" x14ac:dyDescent="0.25">
      <c r="A123" s="17" t="s">
        <v>128</v>
      </c>
      <c r="B123" s="18">
        <v>46174</v>
      </c>
      <c r="C123" s="2">
        <v>0.81874999999999998</v>
      </c>
      <c r="D123" s="17" t="str">
        <f>HYPERLINK("https://tbc.wowhead.com/item=30250","[Schulterstücke des bezwungenen Helden]")</f>
        <v>[Schulterstücke des bezwungenen Helden]</v>
      </c>
      <c r="E123">
        <v>30250</v>
      </c>
      <c r="F123" t="s">
        <v>101</v>
      </c>
      <c r="G123" s="17" t="s">
        <v>22</v>
      </c>
      <c r="H123">
        <v>3</v>
      </c>
      <c r="I123" t="s">
        <v>57</v>
      </c>
      <c r="J123" t="s">
        <v>230</v>
      </c>
      <c r="K123" t="s">
        <v>234</v>
      </c>
      <c r="L123" t="str">
        <f>HYPERLINK("https://tbc.wowhead.com/item=29079","[Schulterstücke der Aldor]")</f>
        <v>[Schulterstücke der Aldor]</v>
      </c>
      <c r="N123">
        <v>1</v>
      </c>
      <c r="O123" t="b">
        <v>0</v>
      </c>
      <c r="P123" t="s">
        <v>25</v>
      </c>
      <c r="Q123" t="s">
        <v>26</v>
      </c>
      <c r="T123" t="s">
        <v>135</v>
      </c>
      <c r="U123" s="4">
        <f t="shared" si="3"/>
        <v>46174</v>
      </c>
      <c r="V123" s="17" t="s">
        <v>244</v>
      </c>
    </row>
    <row r="124" spans="1:22" x14ac:dyDescent="0.25">
      <c r="A124" s="17" t="s">
        <v>165</v>
      </c>
      <c r="B124" s="18">
        <v>46174</v>
      </c>
      <c r="C124" s="2">
        <v>0.81736111111111109</v>
      </c>
      <c r="D124" s="17" t="str">
        <f>HYPERLINK("https://tbc.wowhead.com/item=30448","[Al'ars Kralle]")</f>
        <v>[Al'ars Kralle]</v>
      </c>
      <c r="E124">
        <v>30448</v>
      </c>
      <c r="F124" t="s">
        <v>240</v>
      </c>
      <c r="G124" s="17" t="s">
        <v>120</v>
      </c>
      <c r="H124">
        <v>3</v>
      </c>
      <c r="I124" t="s">
        <v>97</v>
      </c>
      <c r="J124" t="s">
        <v>230</v>
      </c>
      <c r="K124" t="s">
        <v>236</v>
      </c>
      <c r="L124" t="str">
        <f>HYPERLINK("https://tbc.wowhead.com/item=29383","[Kampfrauschbrosche]")</f>
        <v>[Kampfrauschbrosche]</v>
      </c>
      <c r="M124" t="str">
        <f>HYPERLINK("https://tbc.wowhead.com/item=28288","[Abakus der Ungleichheit]")</f>
        <v>[Abakus der Ungleichheit]</v>
      </c>
      <c r="N124" t="s">
        <v>121</v>
      </c>
      <c r="O124" t="b">
        <v>0</v>
      </c>
      <c r="P124" t="s">
        <v>25</v>
      </c>
      <c r="Q124" t="s">
        <v>62</v>
      </c>
      <c r="R124" t="s">
        <v>63</v>
      </c>
      <c r="T124" t="s">
        <v>135</v>
      </c>
      <c r="U124" s="4">
        <f t="shared" si="3"/>
        <v>46174</v>
      </c>
      <c r="V124" s="17" t="s">
        <v>243</v>
      </c>
    </row>
    <row r="125" spans="1:22" x14ac:dyDescent="0.25">
      <c r="A125" s="17" t="s">
        <v>130</v>
      </c>
      <c r="B125" s="18">
        <v>46174</v>
      </c>
      <c r="C125" s="2">
        <v>0.81874999999999998</v>
      </c>
      <c r="D125" s="17" t="str">
        <f>HYPERLINK("https://tbc.wowhead.com/item=30248","[Schulterstücke des bezwungenen Champions]")</f>
        <v>[Schulterstücke des bezwungenen Champions]</v>
      </c>
      <c r="E125">
        <v>30248</v>
      </c>
      <c r="F125" t="s">
        <v>241</v>
      </c>
      <c r="G125" s="17" t="s">
        <v>22</v>
      </c>
      <c r="H125">
        <v>3</v>
      </c>
      <c r="I125" t="s">
        <v>41</v>
      </c>
      <c r="J125" t="s">
        <v>230</v>
      </c>
      <c r="K125" t="s">
        <v>234</v>
      </c>
      <c r="L125" t="str">
        <f>HYPERLINK("https://tbc.wowhead.com/item=28755","[Klingenschulterpolster des Erbarmungslosen]")</f>
        <v>[Klingenschulterpolster des Erbarmungslosen]</v>
      </c>
      <c r="N125">
        <v>1</v>
      </c>
      <c r="O125" t="b">
        <v>0</v>
      </c>
      <c r="P125" t="s">
        <v>25</v>
      </c>
      <c r="Q125" t="s">
        <v>26</v>
      </c>
      <c r="T125" t="s">
        <v>135</v>
      </c>
      <c r="U125" s="4">
        <f t="shared" si="3"/>
        <v>46174</v>
      </c>
      <c r="V125" s="19" t="s">
        <v>246</v>
      </c>
    </row>
    <row r="126" spans="1:22" x14ac:dyDescent="0.25">
      <c r="A126" s="17" t="s">
        <v>40</v>
      </c>
      <c r="B126" s="18">
        <v>46174</v>
      </c>
      <c r="C126" s="2">
        <v>0.85138888888888886</v>
      </c>
      <c r="D126" s="17" t="str">
        <f>HYPERLINK("https://tbc.wowhead.com/item=32405","[Tiefgrüne Sphäre]")</f>
        <v>[Tiefgrüne Sphäre]</v>
      </c>
      <c r="E126">
        <v>32405</v>
      </c>
      <c r="F126" t="s">
        <v>182</v>
      </c>
      <c r="G126" s="17" t="s">
        <v>22</v>
      </c>
      <c r="H126">
        <v>4</v>
      </c>
      <c r="I126" t="s">
        <v>41</v>
      </c>
      <c r="J126" t="s">
        <v>230</v>
      </c>
      <c r="K126" t="s">
        <v>231</v>
      </c>
      <c r="N126">
        <v>1</v>
      </c>
      <c r="O126" t="b">
        <v>0</v>
      </c>
      <c r="P126" t="s">
        <v>25</v>
      </c>
      <c r="Q126" t="s">
        <v>42</v>
      </c>
      <c r="T126" t="s">
        <v>135</v>
      </c>
      <c r="U126" s="4">
        <f t="shared" si="3"/>
        <v>46174</v>
      </c>
      <c r="V126" s="17" t="s">
        <v>243</v>
      </c>
    </row>
    <row r="127" spans="1:22" x14ac:dyDescent="0.25">
      <c r="A127" s="17" t="s">
        <v>91</v>
      </c>
      <c r="B127" s="18">
        <v>46174</v>
      </c>
      <c r="C127" s="2">
        <v>0.84930555555555554</v>
      </c>
      <c r="D127" s="17" t="str">
        <f>HYPERLINK("https://tbc.wowhead.com/item=30237","[Brustschutz des bezwungenen Verteidigers]")</f>
        <v>[Brustschutz des bezwungenen Verteidigers]</v>
      </c>
      <c r="E127">
        <v>30237</v>
      </c>
      <c r="F127" t="s">
        <v>125</v>
      </c>
      <c r="G127" s="17" t="s">
        <v>22</v>
      </c>
      <c r="H127">
        <v>3</v>
      </c>
      <c r="I127" t="s">
        <v>51</v>
      </c>
      <c r="J127" t="s">
        <v>230</v>
      </c>
      <c r="K127" t="s">
        <v>231</v>
      </c>
      <c r="L127" t="str">
        <f>HYPERLINK("https://tbc.wowhead.com/item=28602","[Robe der Ahnenschriften]")</f>
        <v>[Robe der Ahnenschriften]</v>
      </c>
      <c r="N127">
        <v>1</v>
      </c>
      <c r="O127" t="b">
        <v>0</v>
      </c>
      <c r="P127" t="s">
        <v>25</v>
      </c>
      <c r="Q127" t="s">
        <v>26</v>
      </c>
      <c r="T127" t="s">
        <v>135</v>
      </c>
      <c r="U127" s="4">
        <f t="shared" si="3"/>
        <v>46174</v>
      </c>
      <c r="V127" s="17" t="s">
        <v>243</v>
      </c>
    </row>
    <row r="128" spans="1:22" x14ac:dyDescent="0.25">
      <c r="U128" s="4" t="str">
        <f t="shared" si="3"/>
        <v/>
      </c>
    </row>
    <row r="129" spans="21:21" x14ac:dyDescent="0.25">
      <c r="U129" s="4" t="str">
        <f t="shared" si="3"/>
        <v/>
      </c>
    </row>
    <row r="130" spans="21:21" x14ac:dyDescent="0.25">
      <c r="U130" s="4" t="str">
        <f t="shared" ref="U130:U161" si="4">IF(B130="","",B130)</f>
        <v/>
      </c>
    </row>
    <row r="131" spans="21:21" x14ac:dyDescent="0.25">
      <c r="U131" s="4" t="str">
        <f t="shared" si="4"/>
        <v/>
      </c>
    </row>
    <row r="132" spans="21:21" x14ac:dyDescent="0.25">
      <c r="U132" s="4" t="str">
        <f t="shared" si="4"/>
        <v/>
      </c>
    </row>
    <row r="133" spans="21:21" x14ac:dyDescent="0.25">
      <c r="U133" s="4" t="str">
        <f t="shared" si="4"/>
        <v/>
      </c>
    </row>
    <row r="134" spans="21:21" x14ac:dyDescent="0.25">
      <c r="U134" s="4" t="str">
        <f t="shared" si="4"/>
        <v/>
      </c>
    </row>
    <row r="135" spans="21:21" x14ac:dyDescent="0.25">
      <c r="U135" s="4" t="str">
        <f t="shared" si="4"/>
        <v/>
      </c>
    </row>
    <row r="136" spans="21:21" x14ac:dyDescent="0.25">
      <c r="U136" s="4" t="str">
        <f t="shared" si="4"/>
        <v/>
      </c>
    </row>
    <row r="137" spans="21:21" x14ac:dyDescent="0.25">
      <c r="U137" s="4" t="str">
        <f t="shared" si="4"/>
        <v/>
      </c>
    </row>
    <row r="138" spans="21:21" x14ac:dyDescent="0.25">
      <c r="U138" s="4" t="str">
        <f t="shared" si="4"/>
        <v/>
      </c>
    </row>
    <row r="139" spans="21:21" x14ac:dyDescent="0.25">
      <c r="U139" s="4" t="str">
        <f t="shared" si="4"/>
        <v/>
      </c>
    </row>
    <row r="140" spans="21:21" x14ac:dyDescent="0.25">
      <c r="U140" s="4" t="str">
        <f t="shared" si="4"/>
        <v/>
      </c>
    </row>
    <row r="141" spans="21:21" x14ac:dyDescent="0.25">
      <c r="U141" s="4" t="str">
        <f t="shared" si="4"/>
        <v/>
      </c>
    </row>
    <row r="142" spans="21:21" x14ac:dyDescent="0.25">
      <c r="U142" s="4" t="str">
        <f t="shared" si="4"/>
        <v/>
      </c>
    </row>
    <row r="143" spans="21:21" x14ac:dyDescent="0.25">
      <c r="U143" s="4" t="str">
        <f t="shared" si="4"/>
        <v/>
      </c>
    </row>
    <row r="144" spans="21:21" x14ac:dyDescent="0.25">
      <c r="U144" s="4" t="str">
        <f t="shared" si="4"/>
        <v/>
      </c>
    </row>
    <row r="145" spans="21:21" x14ac:dyDescent="0.25">
      <c r="U145" s="4" t="str">
        <f t="shared" si="4"/>
        <v/>
      </c>
    </row>
    <row r="146" spans="21:21" x14ac:dyDescent="0.25">
      <c r="U146" s="4" t="str">
        <f t="shared" si="4"/>
        <v/>
      </c>
    </row>
    <row r="147" spans="21:21" x14ac:dyDescent="0.25">
      <c r="U147" s="4" t="str">
        <f t="shared" si="4"/>
        <v/>
      </c>
    </row>
    <row r="148" spans="21:21" x14ac:dyDescent="0.25">
      <c r="U148" s="4" t="str">
        <f t="shared" si="4"/>
        <v/>
      </c>
    </row>
    <row r="149" spans="21:21" x14ac:dyDescent="0.25">
      <c r="U149" s="4" t="str">
        <f t="shared" si="4"/>
        <v/>
      </c>
    </row>
    <row r="150" spans="21:21" x14ac:dyDescent="0.25">
      <c r="U150" s="4" t="str">
        <f t="shared" si="4"/>
        <v/>
      </c>
    </row>
    <row r="151" spans="21:21" x14ac:dyDescent="0.25">
      <c r="U151" s="4" t="str">
        <f t="shared" si="4"/>
        <v/>
      </c>
    </row>
    <row r="152" spans="21:21" x14ac:dyDescent="0.25">
      <c r="U152" s="4" t="str">
        <f t="shared" si="4"/>
        <v/>
      </c>
    </row>
    <row r="153" spans="21:21" x14ac:dyDescent="0.25">
      <c r="U153" s="4" t="str">
        <f t="shared" si="4"/>
        <v/>
      </c>
    </row>
    <row r="154" spans="21:21" x14ac:dyDescent="0.25">
      <c r="U154" s="4" t="str">
        <f t="shared" si="4"/>
        <v/>
      </c>
    </row>
    <row r="155" spans="21:21" x14ac:dyDescent="0.25">
      <c r="U155" s="4" t="str">
        <f t="shared" si="4"/>
        <v/>
      </c>
    </row>
    <row r="156" spans="21:21" x14ac:dyDescent="0.25">
      <c r="U156" s="4" t="str">
        <f t="shared" si="4"/>
        <v/>
      </c>
    </row>
    <row r="157" spans="21:21" x14ac:dyDescent="0.25">
      <c r="U157" s="4" t="str">
        <f t="shared" si="4"/>
        <v/>
      </c>
    </row>
    <row r="158" spans="21:21" x14ac:dyDescent="0.25">
      <c r="U158" s="4" t="str">
        <f t="shared" si="4"/>
        <v/>
      </c>
    </row>
    <row r="159" spans="21:21" x14ac:dyDescent="0.25">
      <c r="U159" s="4" t="str">
        <f t="shared" si="4"/>
        <v/>
      </c>
    </row>
    <row r="160" spans="21:21" x14ac:dyDescent="0.25">
      <c r="U160" s="4" t="str">
        <f t="shared" si="4"/>
        <v/>
      </c>
    </row>
    <row r="161" spans="21:21" x14ac:dyDescent="0.25">
      <c r="U161" s="4" t="str">
        <f t="shared" si="4"/>
        <v/>
      </c>
    </row>
    <row r="162" spans="21:21" x14ac:dyDescent="0.25">
      <c r="U162" s="4" t="str">
        <f t="shared" ref="U162:U193" si="5">IF(B162="","",B162)</f>
        <v/>
      </c>
    </row>
    <row r="163" spans="21:21" x14ac:dyDescent="0.25">
      <c r="U163" s="4" t="str">
        <f t="shared" si="5"/>
        <v/>
      </c>
    </row>
    <row r="164" spans="21:21" x14ac:dyDescent="0.25">
      <c r="U164" s="4" t="str">
        <f t="shared" si="5"/>
        <v/>
      </c>
    </row>
    <row r="165" spans="21:21" x14ac:dyDescent="0.25">
      <c r="U165" s="4" t="str">
        <f t="shared" si="5"/>
        <v/>
      </c>
    </row>
    <row r="166" spans="21:21" x14ac:dyDescent="0.25">
      <c r="U166" s="4" t="str">
        <f t="shared" si="5"/>
        <v/>
      </c>
    </row>
    <row r="167" spans="21:21" x14ac:dyDescent="0.25">
      <c r="U167" s="4" t="str">
        <f t="shared" si="5"/>
        <v/>
      </c>
    </row>
    <row r="168" spans="21:21" x14ac:dyDescent="0.25">
      <c r="U168" s="4" t="str">
        <f t="shared" si="5"/>
        <v/>
      </c>
    </row>
    <row r="169" spans="21:21" x14ac:dyDescent="0.25">
      <c r="U169" s="4" t="str">
        <f t="shared" si="5"/>
        <v/>
      </c>
    </row>
    <row r="170" spans="21:21" x14ac:dyDescent="0.25">
      <c r="U170" s="4" t="str">
        <f t="shared" si="5"/>
        <v/>
      </c>
    </row>
    <row r="171" spans="21:21" x14ac:dyDescent="0.25">
      <c r="U171" s="4" t="str">
        <f t="shared" si="5"/>
        <v/>
      </c>
    </row>
    <row r="172" spans="21:21" x14ac:dyDescent="0.25">
      <c r="U172" s="4" t="str">
        <f t="shared" si="5"/>
        <v/>
      </c>
    </row>
    <row r="173" spans="21:21" x14ac:dyDescent="0.25">
      <c r="U173" s="4" t="str">
        <f t="shared" si="5"/>
        <v/>
      </c>
    </row>
    <row r="174" spans="21:21" x14ac:dyDescent="0.25">
      <c r="U174" s="4" t="str">
        <f t="shared" si="5"/>
        <v/>
      </c>
    </row>
    <row r="175" spans="21:21" x14ac:dyDescent="0.25">
      <c r="U175" s="4" t="str">
        <f t="shared" si="5"/>
        <v/>
      </c>
    </row>
    <row r="176" spans="21:21" x14ac:dyDescent="0.25">
      <c r="U176" s="4" t="str">
        <f t="shared" si="5"/>
        <v/>
      </c>
    </row>
    <row r="177" spans="21:21" x14ac:dyDescent="0.25">
      <c r="U177" s="4" t="str">
        <f t="shared" si="5"/>
        <v/>
      </c>
    </row>
    <row r="178" spans="21:21" x14ac:dyDescent="0.25">
      <c r="U178" s="4" t="str">
        <f t="shared" si="5"/>
        <v/>
      </c>
    </row>
    <row r="179" spans="21:21" x14ac:dyDescent="0.25">
      <c r="U179" s="4" t="str">
        <f t="shared" si="5"/>
        <v/>
      </c>
    </row>
    <row r="180" spans="21:21" x14ac:dyDescent="0.25">
      <c r="U180" s="4" t="str">
        <f t="shared" si="5"/>
        <v/>
      </c>
    </row>
    <row r="181" spans="21:21" x14ac:dyDescent="0.25">
      <c r="U181" s="4" t="str">
        <f t="shared" si="5"/>
        <v/>
      </c>
    </row>
    <row r="182" spans="21:21" x14ac:dyDescent="0.25">
      <c r="U182" s="4" t="str">
        <f t="shared" si="5"/>
        <v/>
      </c>
    </row>
    <row r="183" spans="21:21" x14ac:dyDescent="0.25">
      <c r="U183" s="4" t="str">
        <f t="shared" si="5"/>
        <v/>
      </c>
    </row>
    <row r="184" spans="21:21" x14ac:dyDescent="0.25">
      <c r="U184" s="4" t="str">
        <f t="shared" si="5"/>
        <v/>
      </c>
    </row>
    <row r="185" spans="21:21" x14ac:dyDescent="0.25">
      <c r="U185" s="4" t="str">
        <f t="shared" si="5"/>
        <v/>
      </c>
    </row>
    <row r="186" spans="21:21" x14ac:dyDescent="0.25">
      <c r="U186" s="4" t="str">
        <f t="shared" si="5"/>
        <v/>
      </c>
    </row>
    <row r="187" spans="21:21" x14ac:dyDescent="0.25">
      <c r="U187" s="4" t="str">
        <f t="shared" si="5"/>
        <v/>
      </c>
    </row>
    <row r="188" spans="21:21" x14ac:dyDescent="0.25">
      <c r="U188" s="4" t="str">
        <f t="shared" si="5"/>
        <v/>
      </c>
    </row>
    <row r="189" spans="21:21" x14ac:dyDescent="0.25">
      <c r="U189" s="4" t="str">
        <f t="shared" si="5"/>
        <v/>
      </c>
    </row>
    <row r="190" spans="21:21" x14ac:dyDescent="0.25">
      <c r="U190" s="4" t="str">
        <f t="shared" si="5"/>
        <v/>
      </c>
    </row>
    <row r="191" spans="21:21" x14ac:dyDescent="0.25">
      <c r="U191" s="4" t="str">
        <f t="shared" si="5"/>
        <v/>
      </c>
    </row>
    <row r="192" spans="21:21" x14ac:dyDescent="0.25">
      <c r="U192" s="4" t="str">
        <f t="shared" si="5"/>
        <v/>
      </c>
    </row>
    <row r="193" spans="21:21" x14ac:dyDescent="0.25">
      <c r="U193" s="4" t="str">
        <f t="shared" si="5"/>
        <v/>
      </c>
    </row>
    <row r="194" spans="21:21" x14ac:dyDescent="0.25">
      <c r="U194" s="4" t="str">
        <f t="shared" ref="U194:U200" si="6">IF(B194="","",B194)</f>
        <v/>
      </c>
    </row>
    <row r="195" spans="21:21" x14ac:dyDescent="0.25">
      <c r="U195" s="4" t="str">
        <f t="shared" si="6"/>
        <v/>
      </c>
    </row>
    <row r="196" spans="21:21" x14ac:dyDescent="0.25">
      <c r="U196" s="4" t="str">
        <f t="shared" si="6"/>
        <v/>
      </c>
    </row>
    <row r="197" spans="21:21" x14ac:dyDescent="0.25">
      <c r="U197" s="4" t="str">
        <f t="shared" si="6"/>
        <v/>
      </c>
    </row>
    <row r="198" spans="21:21" x14ac:dyDescent="0.25">
      <c r="U198" s="4" t="str">
        <f t="shared" si="6"/>
        <v/>
      </c>
    </row>
    <row r="199" spans="21:21" x14ac:dyDescent="0.25">
      <c r="U199" s="4" t="str">
        <f t="shared" si="6"/>
        <v/>
      </c>
    </row>
    <row r="200" spans="21:21" x14ac:dyDescent="0.25">
      <c r="U200" s="4" t="str">
        <f t="shared" si="6"/>
        <v/>
      </c>
    </row>
  </sheetData>
  <autoFilter ref="A1:T200" xr:uid="{19451AA2-23CF-6249-8587-EF34CF3BDA66}">
    <sortState xmlns:xlrd2="http://schemas.microsoft.com/office/spreadsheetml/2017/richdata2" ref="A2:T200">
      <sortCondition ref="B1:B20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N7" sqref="N7"/>
    </sheetView>
  </sheetViews>
  <sheetFormatPr defaultRowHeight="15.75" x14ac:dyDescent="0.25"/>
  <cols>
    <col min="1" max="1" width="37.125" bestFit="1" customWidth="1"/>
    <col min="2" max="2" width="46.125" bestFit="1" customWidth="1"/>
    <col min="3" max="3" width="8.875" bestFit="1" customWidth="1"/>
    <col min="4" max="4" width="7.875" bestFit="1" customWidth="1"/>
    <col min="5" max="5" width="9.875" bestFit="1" customWidth="1"/>
    <col min="19" max="19" width="24.75" style="26" bestFit="1" customWidth="1"/>
  </cols>
  <sheetData>
    <row r="1" spans="1:19" ht="21" x14ac:dyDescent="0.35">
      <c r="A1" s="20" t="s">
        <v>247</v>
      </c>
      <c r="S1" s="25" t="s">
        <v>249</v>
      </c>
    </row>
    <row r="2" spans="1:19" x14ac:dyDescent="0.25">
      <c r="S2" s="26" t="str" cm="1">
        <f t="array" ref="S2:S31">_xlfn._xlws.SORT(_xlfn.UNIQUE(_xlfn._xlws.FILTER('Loot History'!A2:A2000,'Loot History'!A2:A2000&lt;&gt;"")))</f>
        <v>Actitibe-Thunderstrike</v>
      </c>
    </row>
    <row r="3" spans="1:19" x14ac:dyDescent="0.25">
      <c r="A3" s="3" t="s">
        <v>248</v>
      </c>
      <c r="B3" s="21" t="s">
        <v>56</v>
      </c>
      <c r="S3" s="26" t="str">
        <v>Aethrîa-Thunderstrike</v>
      </c>
    </row>
    <row r="4" spans="1:19" x14ac:dyDescent="0.25">
      <c r="S4" s="26" t="str">
        <v>Alàén-Thunderstrike</v>
      </c>
    </row>
    <row r="5" spans="1:19" x14ac:dyDescent="0.25">
      <c r="A5" s="22" t="s">
        <v>250</v>
      </c>
      <c r="B5" s="22" t="s">
        <v>160</v>
      </c>
      <c r="C5" s="22" t="s">
        <v>251</v>
      </c>
      <c r="D5" s="22" t="s">
        <v>252</v>
      </c>
      <c r="E5" s="22" t="s">
        <v>154</v>
      </c>
      <c r="S5" s="26" t="str">
        <v>Bigfutti-Thunderstrike</v>
      </c>
    </row>
    <row r="6" spans="1:19" x14ac:dyDescent="0.25">
      <c r="A6" t="str" cm="1">
        <f t="array" ref="A6:E9">IF($B$3="","← Select a player above",_xlfn._xlws.FILTER(_xlfn.HSTACK('Loot History'!D2:D200,'Loot History'!J2:J200,'Loot History'!B2:B200,'Loot History'!C2:C200,'Loot History'!G2:G200),'Loot History'!A2:A200=$B$3,"No items found for this player"))</f>
        <v>[Flechte der Schlangenschlinge]</v>
      </c>
      <c r="B6" t="str">
        <v>Echsenkessel: Höhle des Schlangenschreins-25 Spieler</v>
      </c>
      <c r="C6" s="23">
        <v>46160</v>
      </c>
      <c r="D6" s="24">
        <v>0.90902777777777777</v>
      </c>
      <c r="E6" t="str">
        <v>BiS</v>
      </c>
      <c r="S6" s="26" t="str">
        <v>Fetzine-Thunderstrike</v>
      </c>
    </row>
    <row r="7" spans="1:19" x14ac:dyDescent="0.25">
      <c r="A7" t="str">
        <v>[Pauldrons of the Vanquished Hero]</v>
      </c>
      <c r="B7" t="str">
        <v>Tempest Keep-25 Player</v>
      </c>
      <c r="C7" s="23">
        <v>46161</v>
      </c>
      <c r="D7" s="24">
        <v>0.92986111111111114</v>
      </c>
      <c r="E7" t="str">
        <v>BiS</v>
      </c>
      <c r="S7" s="26" t="str">
        <v>Flieege-Thunderstrike</v>
      </c>
    </row>
    <row r="8" spans="1:19" x14ac:dyDescent="0.25">
      <c r="A8" t="str">
        <v>[Handschuhe des bezwungenen Helden]</v>
      </c>
      <c r="B8" t="str">
        <v>Echsenkessel: Höhle des Schlangenschreins-25 Spieler</v>
      </c>
      <c r="C8" s="23">
        <v>46163</v>
      </c>
      <c r="D8" s="24">
        <v>0.87986111111111109</v>
      </c>
      <c r="E8" t="str">
        <v>BiS</v>
      </c>
      <c r="S8" s="26" t="str">
        <v>Gerdarogers-Thunderstrike</v>
      </c>
    </row>
    <row r="9" spans="1:19" x14ac:dyDescent="0.25">
      <c r="A9" t="str">
        <v>[Brustschutz des bezwungenen Helden]</v>
      </c>
      <c r="B9" t="str">
        <v>Festung der Stürme-25 Spieler</v>
      </c>
      <c r="C9" s="23">
        <v>46174</v>
      </c>
      <c r="D9" s="24">
        <v>0.84930555555555554</v>
      </c>
      <c r="E9" t="str">
        <v>BiS</v>
      </c>
      <c r="S9" s="26" t="str">
        <v>Grathmok-Thunderstrike</v>
      </c>
    </row>
    <row r="10" spans="1:19" x14ac:dyDescent="0.25">
      <c r="C10" s="23"/>
      <c r="D10" s="24"/>
      <c r="S10" s="26" t="str">
        <v>Heislbärt-Thunderstrike</v>
      </c>
    </row>
    <row r="11" spans="1:19" x14ac:dyDescent="0.25">
      <c r="C11" s="23"/>
      <c r="D11" s="24"/>
      <c r="S11" s="26" t="str">
        <v>Hutro-Thunderstrike</v>
      </c>
    </row>
    <row r="12" spans="1:19" x14ac:dyDescent="0.25">
      <c r="C12" s="23"/>
      <c r="D12" s="24"/>
      <c r="S12" s="26" t="str">
        <v>Keindaemon-Thunderstrike</v>
      </c>
    </row>
    <row r="13" spans="1:19" x14ac:dyDescent="0.25">
      <c r="C13" s="23"/>
      <c r="D13" s="24"/>
      <c r="S13" s="26" t="str">
        <v>Klaaw-Thunderstrike</v>
      </c>
    </row>
    <row r="14" spans="1:19" x14ac:dyDescent="0.25">
      <c r="C14" s="23"/>
      <c r="D14" s="24"/>
      <c r="S14" s="26" t="str">
        <v>Lilyasx-Thunderstrike</v>
      </c>
    </row>
    <row r="15" spans="1:19" x14ac:dyDescent="0.25">
      <c r="C15" s="23"/>
      <c r="D15" s="24"/>
      <c r="S15" s="26" t="str">
        <v>Mahway-Thunderstrike</v>
      </c>
    </row>
    <row r="16" spans="1:19" x14ac:dyDescent="0.25">
      <c r="C16" s="23"/>
      <c r="D16" s="24"/>
      <c r="S16" s="26" t="str">
        <v>Mardinez-Thunderstrike</v>
      </c>
    </row>
    <row r="17" spans="3:19" x14ac:dyDescent="0.25">
      <c r="C17" s="23"/>
      <c r="D17" s="24"/>
      <c r="S17" s="26" t="str">
        <v>Mokrash-Thunderstrike</v>
      </c>
    </row>
    <row r="18" spans="3:19" x14ac:dyDescent="0.25">
      <c r="C18" s="23"/>
      <c r="D18" s="24"/>
      <c r="S18" s="26" t="str">
        <v>Mommyfrieren-Thunderstrike</v>
      </c>
    </row>
    <row r="19" spans="3:19" x14ac:dyDescent="0.25">
      <c r="C19" s="23"/>
      <c r="D19" s="24"/>
      <c r="S19" s="26" t="str">
        <v>Oßa-Thunderstrike</v>
      </c>
    </row>
    <row r="20" spans="3:19" x14ac:dyDescent="0.25">
      <c r="C20" s="23"/>
      <c r="D20" s="24"/>
      <c r="S20" s="26" t="str">
        <v>Reezø-Thunderstrike</v>
      </c>
    </row>
    <row r="21" spans="3:19" x14ac:dyDescent="0.25">
      <c r="C21" s="23"/>
      <c r="D21" s="24"/>
      <c r="S21" s="26" t="str">
        <v>Ribsz-Thunderstrike</v>
      </c>
    </row>
    <row r="22" spans="3:19" x14ac:dyDescent="0.25">
      <c r="C22" s="23"/>
      <c r="D22" s="24"/>
      <c r="S22" s="26" t="str">
        <v>Shreklich-Thunderstrike</v>
      </c>
    </row>
    <row r="23" spans="3:19" x14ac:dyDescent="0.25">
      <c r="C23" s="23"/>
      <c r="D23" s="24"/>
      <c r="S23" s="26" t="str">
        <v>Spewspew-Thunderstrike</v>
      </c>
    </row>
    <row r="24" spans="3:19" x14ac:dyDescent="0.25">
      <c r="C24" s="23"/>
      <c r="D24" s="24"/>
      <c r="S24" s="26" t="str">
        <v>Supmyaeth-Thunderstrike</v>
      </c>
    </row>
    <row r="25" spans="3:19" x14ac:dyDescent="0.25">
      <c r="C25" s="23"/>
      <c r="D25" s="24"/>
      <c r="S25" s="26" t="str">
        <v>Tastycake-Thunderstrike</v>
      </c>
    </row>
    <row r="26" spans="3:19" x14ac:dyDescent="0.25">
      <c r="C26" s="23"/>
      <c r="D26" s="24"/>
      <c r="S26" s="26" t="str">
        <v>Tommypenn-Thunderstrike</v>
      </c>
    </row>
    <row r="27" spans="3:19" x14ac:dyDescent="0.25">
      <c r="C27" s="23"/>
      <c r="D27" s="24"/>
      <c r="S27" s="26" t="str">
        <v>Tuarendrood-Thunderstrike</v>
      </c>
    </row>
    <row r="28" spans="3:19" x14ac:dyDescent="0.25">
      <c r="C28" s="23"/>
      <c r="D28" s="24"/>
      <c r="S28" s="26" t="str">
        <v>Xænd-Thunderstrike</v>
      </c>
    </row>
    <row r="29" spans="3:19" x14ac:dyDescent="0.25">
      <c r="C29" s="23"/>
      <c r="D29" s="24"/>
      <c r="S29" s="26" t="str">
        <v>Zabipala-Thunderstrike</v>
      </c>
    </row>
    <row r="30" spans="3:19" x14ac:dyDescent="0.25">
      <c r="C30" s="23"/>
      <c r="D30" s="24"/>
      <c r="S30" s="26" t="str">
        <v>Zerleger-Thunderstrike</v>
      </c>
    </row>
    <row r="31" spans="3:19" x14ac:dyDescent="0.25">
      <c r="C31" s="23"/>
      <c r="D31" s="24"/>
      <c r="S31" s="26" t="str">
        <v>Zzou-Thunderstrike</v>
      </c>
    </row>
    <row r="32" spans="3:19" x14ac:dyDescent="0.25">
      <c r="C32" s="23"/>
      <c r="D32" s="24"/>
    </row>
    <row r="33" spans="3:4" x14ac:dyDescent="0.25">
      <c r="C33" s="23"/>
      <c r="D33" s="24"/>
    </row>
    <row r="34" spans="3:4" x14ac:dyDescent="0.25">
      <c r="C34" s="23"/>
      <c r="D34" s="24"/>
    </row>
    <row r="35" spans="3:4" x14ac:dyDescent="0.25">
      <c r="C35" s="23"/>
      <c r="D35" s="24"/>
    </row>
    <row r="36" spans="3:4" x14ac:dyDescent="0.25">
      <c r="C36" s="23"/>
      <c r="D36" s="24"/>
    </row>
    <row r="37" spans="3:4" x14ac:dyDescent="0.25">
      <c r="C37" s="23"/>
      <c r="D37" s="24"/>
    </row>
    <row r="38" spans="3:4" x14ac:dyDescent="0.25">
      <c r="C38" s="23"/>
      <c r="D38" s="24"/>
    </row>
    <row r="39" spans="3:4" x14ac:dyDescent="0.25">
      <c r="C39" s="23"/>
      <c r="D39" s="24"/>
    </row>
    <row r="40" spans="3:4" x14ac:dyDescent="0.25">
      <c r="C40" s="23"/>
      <c r="D40" s="24"/>
    </row>
    <row r="41" spans="3:4" x14ac:dyDescent="0.25">
      <c r="C41" s="23"/>
      <c r="D41" s="24"/>
    </row>
    <row r="42" spans="3:4" x14ac:dyDescent="0.25">
      <c r="C42" s="23"/>
      <c r="D42" s="24"/>
    </row>
    <row r="43" spans="3:4" x14ac:dyDescent="0.25">
      <c r="C43" s="23"/>
      <c r="D43" s="24"/>
    </row>
    <row r="44" spans="3:4" x14ac:dyDescent="0.25">
      <c r="C44" s="23"/>
      <c r="D44" s="24"/>
    </row>
    <row r="45" spans="3:4" x14ac:dyDescent="0.25">
      <c r="C45" s="23"/>
      <c r="D45" s="24"/>
    </row>
    <row r="46" spans="3:4" x14ac:dyDescent="0.25">
      <c r="C46" s="23"/>
      <c r="D46" s="24"/>
    </row>
    <row r="47" spans="3:4" x14ac:dyDescent="0.25">
      <c r="C47" s="23"/>
      <c r="D47" s="24"/>
    </row>
    <row r="48" spans="3:4" x14ac:dyDescent="0.25">
      <c r="C48" s="23"/>
      <c r="D48" s="24"/>
    </row>
    <row r="49" spans="3:4" x14ac:dyDescent="0.25">
      <c r="C49" s="23"/>
      <c r="D49" s="24"/>
    </row>
    <row r="50" spans="3:4" x14ac:dyDescent="0.25">
      <c r="C50" s="23"/>
      <c r="D50" s="24"/>
    </row>
    <row r="51" spans="3:4" x14ac:dyDescent="0.25">
      <c r="C51" s="23"/>
      <c r="D51" s="24"/>
    </row>
    <row r="52" spans="3:4" x14ac:dyDescent="0.25">
      <c r="C52" s="23"/>
      <c r="D52" s="24"/>
    </row>
    <row r="53" spans="3:4" x14ac:dyDescent="0.25">
      <c r="C53" s="23"/>
      <c r="D53" s="24"/>
    </row>
    <row r="54" spans="3:4" x14ac:dyDescent="0.25">
      <c r="C54" s="23"/>
      <c r="D54" s="24"/>
    </row>
    <row r="55" spans="3:4" x14ac:dyDescent="0.25">
      <c r="C55" s="23"/>
      <c r="D55" s="24"/>
    </row>
    <row r="56" spans="3:4" x14ac:dyDescent="0.25">
      <c r="C56" s="23"/>
      <c r="D56" s="24"/>
    </row>
    <row r="57" spans="3:4" x14ac:dyDescent="0.25">
      <c r="C57" s="23"/>
      <c r="D57" s="24"/>
    </row>
    <row r="58" spans="3:4" x14ac:dyDescent="0.25">
      <c r="C58" s="23"/>
      <c r="D58" s="24"/>
    </row>
    <row r="59" spans="3:4" x14ac:dyDescent="0.25">
      <c r="C59" s="23"/>
      <c r="D59" s="24"/>
    </row>
    <row r="60" spans="3:4" x14ac:dyDescent="0.25">
      <c r="C60" s="23"/>
      <c r="D60" s="24"/>
    </row>
    <row r="61" spans="3:4" x14ac:dyDescent="0.25">
      <c r="C61" s="23"/>
      <c r="D61" s="24"/>
    </row>
    <row r="62" spans="3:4" x14ac:dyDescent="0.25">
      <c r="C62" s="23"/>
      <c r="D62" s="24"/>
    </row>
    <row r="63" spans="3:4" x14ac:dyDescent="0.25">
      <c r="C63" s="23"/>
      <c r="D63" s="24"/>
    </row>
    <row r="64" spans="3:4" x14ac:dyDescent="0.25">
      <c r="C64" s="23"/>
      <c r="D64" s="24"/>
    </row>
    <row r="65" spans="3:4" x14ac:dyDescent="0.25">
      <c r="C65" s="23"/>
      <c r="D65" s="24"/>
    </row>
    <row r="66" spans="3:4" x14ac:dyDescent="0.25">
      <c r="C66" s="23"/>
      <c r="D66" s="24"/>
    </row>
    <row r="67" spans="3:4" x14ac:dyDescent="0.25">
      <c r="C67" s="23"/>
      <c r="D67" s="24"/>
    </row>
    <row r="68" spans="3:4" x14ac:dyDescent="0.25">
      <c r="C68" s="23"/>
      <c r="D68" s="24"/>
    </row>
    <row r="69" spans="3:4" x14ac:dyDescent="0.25">
      <c r="C69" s="23"/>
      <c r="D69" s="24"/>
    </row>
    <row r="70" spans="3:4" x14ac:dyDescent="0.25">
      <c r="C70" s="23"/>
      <c r="D70" s="24"/>
    </row>
    <row r="71" spans="3:4" x14ac:dyDescent="0.25">
      <c r="C71" s="23"/>
      <c r="D71" s="24"/>
    </row>
    <row r="72" spans="3:4" x14ac:dyDescent="0.25">
      <c r="C72" s="23"/>
      <c r="D72" s="24"/>
    </row>
    <row r="73" spans="3:4" x14ac:dyDescent="0.25">
      <c r="C73" s="23"/>
      <c r="D73" s="24"/>
    </row>
    <row r="74" spans="3:4" x14ac:dyDescent="0.25">
      <c r="C74" s="23"/>
      <c r="D74" s="24"/>
    </row>
    <row r="75" spans="3:4" x14ac:dyDescent="0.25">
      <c r="C75" s="23"/>
      <c r="D75" s="24"/>
    </row>
    <row r="76" spans="3:4" x14ac:dyDescent="0.25">
      <c r="C76" s="23"/>
      <c r="D76" s="24"/>
    </row>
    <row r="77" spans="3:4" x14ac:dyDescent="0.25">
      <c r="C77" s="23"/>
      <c r="D77" s="24"/>
    </row>
    <row r="78" spans="3:4" x14ac:dyDescent="0.25">
      <c r="C78" s="23"/>
      <c r="D78" s="24"/>
    </row>
    <row r="79" spans="3:4" x14ac:dyDescent="0.25">
      <c r="C79" s="23"/>
      <c r="D79" s="24"/>
    </row>
    <row r="80" spans="3:4" x14ac:dyDescent="0.25">
      <c r="C80" s="23"/>
      <c r="D80" s="24"/>
    </row>
    <row r="81" spans="3:4" x14ac:dyDescent="0.25">
      <c r="C81" s="23"/>
      <c r="D81" s="24"/>
    </row>
    <row r="82" spans="3:4" x14ac:dyDescent="0.25">
      <c r="C82" s="23"/>
      <c r="D82" s="24"/>
    </row>
    <row r="83" spans="3:4" x14ac:dyDescent="0.25">
      <c r="C83" s="23"/>
      <c r="D83" s="24"/>
    </row>
    <row r="84" spans="3:4" x14ac:dyDescent="0.25">
      <c r="C84" s="23"/>
      <c r="D84" s="24"/>
    </row>
    <row r="85" spans="3:4" x14ac:dyDescent="0.25">
      <c r="C85" s="23"/>
      <c r="D85" s="24"/>
    </row>
    <row r="86" spans="3:4" x14ac:dyDescent="0.25">
      <c r="C86" s="23"/>
      <c r="D86" s="24"/>
    </row>
    <row r="87" spans="3:4" x14ac:dyDescent="0.25">
      <c r="C87" s="23"/>
      <c r="D87" s="24"/>
    </row>
    <row r="88" spans="3:4" x14ac:dyDescent="0.25">
      <c r="C88" s="23"/>
      <c r="D88" s="24"/>
    </row>
    <row r="89" spans="3:4" x14ac:dyDescent="0.25">
      <c r="C89" s="23"/>
      <c r="D89" s="24"/>
    </row>
    <row r="90" spans="3:4" x14ac:dyDescent="0.25">
      <c r="C90" s="23"/>
      <c r="D90" s="24"/>
    </row>
    <row r="91" spans="3:4" x14ac:dyDescent="0.25">
      <c r="C91" s="23"/>
      <c r="D91" s="24"/>
    </row>
    <row r="92" spans="3:4" x14ac:dyDescent="0.25">
      <c r="C92" s="23"/>
      <c r="D92" s="24"/>
    </row>
    <row r="93" spans="3:4" x14ac:dyDescent="0.25">
      <c r="C93" s="23"/>
      <c r="D93" s="24"/>
    </row>
    <row r="94" spans="3:4" x14ac:dyDescent="0.25">
      <c r="C94" s="23"/>
      <c r="D94" s="24"/>
    </row>
    <row r="95" spans="3:4" x14ac:dyDescent="0.25">
      <c r="C95" s="23"/>
      <c r="D95" s="24"/>
    </row>
    <row r="96" spans="3:4" x14ac:dyDescent="0.25">
      <c r="C96" s="23"/>
      <c r="D96" s="24"/>
    </row>
    <row r="97" spans="3:4" x14ac:dyDescent="0.25">
      <c r="C97" s="23"/>
      <c r="D97" s="24"/>
    </row>
    <row r="98" spans="3:4" x14ac:dyDescent="0.25">
      <c r="C98" s="23"/>
      <c r="D98" s="24"/>
    </row>
    <row r="99" spans="3:4" x14ac:dyDescent="0.25">
      <c r="C99" s="23"/>
      <c r="D99" s="24"/>
    </row>
    <row r="100" spans="3:4" x14ac:dyDescent="0.25">
      <c r="C100" s="23"/>
      <c r="D100" s="24"/>
    </row>
    <row r="101" spans="3:4" x14ac:dyDescent="0.25">
      <c r="C101" s="23"/>
      <c r="D101" s="24"/>
    </row>
    <row r="102" spans="3:4" x14ac:dyDescent="0.25">
      <c r="C102" s="23"/>
      <c r="D102" s="24"/>
    </row>
    <row r="103" spans="3:4" x14ac:dyDescent="0.25">
      <c r="C103" s="23"/>
      <c r="D103" s="24"/>
    </row>
    <row r="104" spans="3:4" x14ac:dyDescent="0.25">
      <c r="C104" s="23"/>
      <c r="D104" s="24"/>
    </row>
    <row r="105" spans="3:4" x14ac:dyDescent="0.25">
      <c r="C105" s="23"/>
      <c r="D105" s="24"/>
    </row>
    <row r="106" spans="3:4" x14ac:dyDescent="0.25">
      <c r="C106" s="23"/>
      <c r="D106" s="24"/>
    </row>
    <row r="107" spans="3:4" x14ac:dyDescent="0.25">
      <c r="C107" s="23"/>
      <c r="D107" s="24"/>
    </row>
    <row r="108" spans="3:4" x14ac:dyDescent="0.25">
      <c r="C108" s="23"/>
      <c r="D108" s="24"/>
    </row>
    <row r="109" spans="3:4" x14ac:dyDescent="0.25">
      <c r="C109" s="23"/>
      <c r="D109" s="24"/>
    </row>
    <row r="110" spans="3:4" x14ac:dyDescent="0.25">
      <c r="C110" s="23"/>
      <c r="D110" s="24"/>
    </row>
    <row r="111" spans="3:4" x14ac:dyDescent="0.25">
      <c r="C111" s="23"/>
      <c r="D111" s="24"/>
    </row>
    <row r="112" spans="3:4" x14ac:dyDescent="0.25">
      <c r="C112" s="23"/>
      <c r="D112" s="24"/>
    </row>
    <row r="113" spans="3:4" x14ac:dyDescent="0.25">
      <c r="C113" s="23"/>
      <c r="D113" s="24"/>
    </row>
    <row r="114" spans="3:4" x14ac:dyDescent="0.25">
      <c r="C114" s="23"/>
      <c r="D114" s="24"/>
    </row>
    <row r="115" spans="3:4" x14ac:dyDescent="0.25">
      <c r="C115" s="23"/>
      <c r="D115" s="24"/>
    </row>
    <row r="116" spans="3:4" x14ac:dyDescent="0.25">
      <c r="C116" s="23"/>
      <c r="D116" s="24"/>
    </row>
    <row r="117" spans="3:4" x14ac:dyDescent="0.25">
      <c r="C117" s="23"/>
      <c r="D117" s="24"/>
    </row>
    <row r="118" spans="3:4" x14ac:dyDescent="0.25">
      <c r="C118" s="23"/>
      <c r="D118" s="24"/>
    </row>
    <row r="119" spans="3:4" x14ac:dyDescent="0.25">
      <c r="C119" s="23"/>
      <c r="D119" s="24"/>
    </row>
    <row r="120" spans="3:4" x14ac:dyDescent="0.25">
      <c r="C120" s="23"/>
      <c r="D120" s="24"/>
    </row>
    <row r="121" spans="3:4" x14ac:dyDescent="0.25">
      <c r="C121" s="23"/>
      <c r="D121" s="24"/>
    </row>
    <row r="122" spans="3:4" x14ac:dyDescent="0.25">
      <c r="C122" s="23"/>
      <c r="D122" s="24"/>
    </row>
    <row r="123" spans="3:4" x14ac:dyDescent="0.25">
      <c r="C123" s="23"/>
      <c r="D123" s="24"/>
    </row>
    <row r="124" spans="3:4" x14ac:dyDescent="0.25">
      <c r="C124" s="23"/>
      <c r="D124" s="24"/>
    </row>
    <row r="125" spans="3:4" x14ac:dyDescent="0.25">
      <c r="C125" s="23"/>
      <c r="D125" s="24"/>
    </row>
    <row r="126" spans="3:4" x14ac:dyDescent="0.25">
      <c r="C126" s="23"/>
      <c r="D126" s="24"/>
    </row>
    <row r="127" spans="3:4" x14ac:dyDescent="0.25">
      <c r="C127" s="23"/>
      <c r="D127" s="24"/>
    </row>
    <row r="128" spans="3:4" x14ac:dyDescent="0.25">
      <c r="C128" s="23"/>
      <c r="D128" s="24"/>
    </row>
    <row r="129" spans="3:4" x14ac:dyDescent="0.25">
      <c r="C129" s="23"/>
      <c r="D129" s="24"/>
    </row>
    <row r="130" spans="3:4" x14ac:dyDescent="0.25">
      <c r="C130" s="23"/>
      <c r="D130" s="24"/>
    </row>
    <row r="131" spans="3:4" x14ac:dyDescent="0.25">
      <c r="C131" s="23"/>
      <c r="D131" s="24"/>
    </row>
    <row r="132" spans="3:4" x14ac:dyDescent="0.25">
      <c r="C132" s="23"/>
      <c r="D132" s="24"/>
    </row>
    <row r="133" spans="3:4" x14ac:dyDescent="0.25">
      <c r="C133" s="23"/>
      <c r="D133" s="24"/>
    </row>
    <row r="134" spans="3:4" x14ac:dyDescent="0.25">
      <c r="C134" s="23"/>
      <c r="D134" s="24"/>
    </row>
    <row r="135" spans="3:4" x14ac:dyDescent="0.25">
      <c r="C135" s="23"/>
      <c r="D135" s="24"/>
    </row>
    <row r="136" spans="3:4" x14ac:dyDescent="0.25">
      <c r="C136" s="23"/>
      <c r="D136" s="24"/>
    </row>
    <row r="137" spans="3:4" x14ac:dyDescent="0.25">
      <c r="C137" s="23"/>
      <c r="D137" s="24"/>
    </row>
    <row r="138" spans="3:4" x14ac:dyDescent="0.25">
      <c r="C138" s="23"/>
      <c r="D138" s="24"/>
    </row>
    <row r="139" spans="3:4" x14ac:dyDescent="0.25">
      <c r="C139" s="23"/>
      <c r="D139" s="24"/>
    </row>
    <row r="140" spans="3:4" x14ac:dyDescent="0.25">
      <c r="C140" s="23"/>
      <c r="D140" s="24"/>
    </row>
    <row r="141" spans="3:4" x14ac:dyDescent="0.25">
      <c r="C141" s="23"/>
      <c r="D141" s="24"/>
    </row>
    <row r="142" spans="3:4" x14ac:dyDescent="0.25">
      <c r="C142" s="23"/>
      <c r="D142" s="24"/>
    </row>
    <row r="143" spans="3:4" x14ac:dyDescent="0.25">
      <c r="C143" s="23"/>
      <c r="D143" s="24"/>
    </row>
    <row r="144" spans="3:4" x14ac:dyDescent="0.25">
      <c r="C144" s="23"/>
      <c r="D144" s="24"/>
    </row>
    <row r="145" spans="3:4" x14ac:dyDescent="0.25">
      <c r="C145" s="23"/>
      <c r="D145" s="24"/>
    </row>
    <row r="146" spans="3:4" x14ac:dyDescent="0.25">
      <c r="C146" s="23"/>
      <c r="D146" s="24"/>
    </row>
    <row r="147" spans="3:4" x14ac:dyDescent="0.25">
      <c r="C147" s="23"/>
      <c r="D147" s="24"/>
    </row>
    <row r="148" spans="3:4" x14ac:dyDescent="0.25">
      <c r="C148" s="23"/>
      <c r="D148" s="24"/>
    </row>
    <row r="149" spans="3:4" x14ac:dyDescent="0.25">
      <c r="C149" s="23"/>
      <c r="D149" s="24"/>
    </row>
    <row r="150" spans="3:4" x14ac:dyDescent="0.25">
      <c r="C150" s="23"/>
      <c r="D150" s="24"/>
    </row>
    <row r="151" spans="3:4" x14ac:dyDescent="0.25">
      <c r="C151" s="23"/>
      <c r="D151" s="24"/>
    </row>
    <row r="152" spans="3:4" x14ac:dyDescent="0.25">
      <c r="C152" s="23"/>
      <c r="D152" s="24"/>
    </row>
    <row r="153" spans="3:4" x14ac:dyDescent="0.25">
      <c r="C153" s="23"/>
      <c r="D153" s="24"/>
    </row>
    <row r="154" spans="3:4" x14ac:dyDescent="0.25">
      <c r="C154" s="23"/>
      <c r="D154" s="24"/>
    </row>
    <row r="155" spans="3:4" x14ac:dyDescent="0.25">
      <c r="C155" s="23"/>
      <c r="D155" s="24"/>
    </row>
    <row r="156" spans="3:4" x14ac:dyDescent="0.25">
      <c r="C156" s="23"/>
      <c r="D156" s="24"/>
    </row>
    <row r="157" spans="3:4" x14ac:dyDescent="0.25">
      <c r="C157" s="23"/>
      <c r="D157" s="24"/>
    </row>
    <row r="158" spans="3:4" x14ac:dyDescent="0.25">
      <c r="C158" s="23"/>
      <c r="D158" s="24"/>
    </row>
    <row r="159" spans="3:4" x14ac:dyDescent="0.25">
      <c r="C159" s="23"/>
      <c r="D159" s="24"/>
    </row>
    <row r="160" spans="3:4" x14ac:dyDescent="0.25">
      <c r="C160" s="23"/>
      <c r="D160" s="24"/>
    </row>
    <row r="161" spans="3:4" x14ac:dyDescent="0.25">
      <c r="C161" s="23"/>
      <c r="D161" s="24"/>
    </row>
    <row r="162" spans="3:4" x14ac:dyDescent="0.25">
      <c r="C162" s="23"/>
      <c r="D162" s="24"/>
    </row>
    <row r="163" spans="3:4" x14ac:dyDescent="0.25">
      <c r="C163" s="23"/>
      <c r="D163" s="24"/>
    </row>
    <row r="164" spans="3:4" x14ac:dyDescent="0.25">
      <c r="C164" s="23"/>
      <c r="D164" s="24"/>
    </row>
    <row r="165" spans="3:4" x14ac:dyDescent="0.25">
      <c r="C165" s="23"/>
      <c r="D165" s="24"/>
    </row>
    <row r="166" spans="3:4" x14ac:dyDescent="0.25">
      <c r="C166" s="23"/>
      <c r="D166" s="24"/>
    </row>
    <row r="167" spans="3:4" x14ac:dyDescent="0.25">
      <c r="C167" s="23"/>
      <c r="D167" s="24"/>
    </row>
    <row r="168" spans="3:4" x14ac:dyDescent="0.25">
      <c r="C168" s="23"/>
      <c r="D168" s="24"/>
    </row>
    <row r="169" spans="3:4" x14ac:dyDescent="0.25">
      <c r="C169" s="23"/>
      <c r="D169" s="24"/>
    </row>
    <row r="170" spans="3:4" x14ac:dyDescent="0.25">
      <c r="C170" s="23"/>
      <c r="D170" s="24"/>
    </row>
    <row r="171" spans="3:4" x14ac:dyDescent="0.25">
      <c r="C171" s="23"/>
      <c r="D171" s="24"/>
    </row>
    <row r="172" spans="3:4" x14ac:dyDescent="0.25">
      <c r="C172" s="23"/>
      <c r="D172" s="24"/>
    </row>
    <row r="173" spans="3:4" x14ac:dyDescent="0.25">
      <c r="C173" s="23"/>
      <c r="D173" s="24"/>
    </row>
    <row r="174" spans="3:4" x14ac:dyDescent="0.25">
      <c r="C174" s="23"/>
      <c r="D174" s="24"/>
    </row>
    <row r="175" spans="3:4" x14ac:dyDescent="0.25">
      <c r="C175" s="23"/>
      <c r="D175" s="24"/>
    </row>
    <row r="176" spans="3:4" x14ac:dyDescent="0.25">
      <c r="C176" s="23"/>
      <c r="D176" s="24"/>
    </row>
    <row r="177" spans="3:4" x14ac:dyDescent="0.25">
      <c r="C177" s="23"/>
      <c r="D177" s="24"/>
    </row>
    <row r="178" spans="3:4" x14ac:dyDescent="0.25">
      <c r="C178" s="23"/>
      <c r="D178" s="24"/>
    </row>
    <row r="179" spans="3:4" x14ac:dyDescent="0.25">
      <c r="C179" s="23"/>
      <c r="D179" s="24"/>
    </row>
    <row r="180" spans="3:4" x14ac:dyDescent="0.25">
      <c r="C180" s="23"/>
      <c r="D180" s="24"/>
    </row>
    <row r="181" spans="3:4" x14ac:dyDescent="0.25">
      <c r="C181" s="23"/>
      <c r="D181" s="24"/>
    </row>
    <row r="182" spans="3:4" x14ac:dyDescent="0.25">
      <c r="C182" s="23"/>
      <c r="D182" s="24"/>
    </row>
    <row r="183" spans="3:4" x14ac:dyDescent="0.25">
      <c r="C183" s="23"/>
      <c r="D183" s="24"/>
    </row>
    <row r="184" spans="3:4" x14ac:dyDescent="0.25">
      <c r="C184" s="23"/>
      <c r="D184" s="24"/>
    </row>
    <row r="185" spans="3:4" x14ac:dyDescent="0.25">
      <c r="C185" s="23"/>
      <c r="D185" s="24"/>
    </row>
    <row r="186" spans="3:4" x14ac:dyDescent="0.25">
      <c r="C186" s="23"/>
      <c r="D186" s="24"/>
    </row>
    <row r="187" spans="3:4" x14ac:dyDescent="0.25">
      <c r="C187" s="23"/>
      <c r="D187" s="24"/>
    </row>
    <row r="188" spans="3:4" x14ac:dyDescent="0.25">
      <c r="C188" s="23"/>
      <c r="D188" s="24"/>
    </row>
    <row r="189" spans="3:4" x14ac:dyDescent="0.25">
      <c r="C189" s="23"/>
      <c r="D189" s="24"/>
    </row>
    <row r="190" spans="3:4" x14ac:dyDescent="0.25">
      <c r="C190" s="23"/>
      <c r="D190" s="24"/>
    </row>
    <row r="191" spans="3:4" x14ac:dyDescent="0.25">
      <c r="C191" s="23"/>
      <c r="D191" s="24"/>
    </row>
    <row r="192" spans="3:4" x14ac:dyDescent="0.25">
      <c r="C192" s="23"/>
      <c r="D192" s="24"/>
    </row>
    <row r="193" spans="3:4" x14ac:dyDescent="0.25">
      <c r="C193" s="23"/>
      <c r="D193" s="24"/>
    </row>
    <row r="194" spans="3:4" x14ac:dyDescent="0.25">
      <c r="C194" s="23"/>
      <c r="D194" s="24"/>
    </row>
    <row r="195" spans="3:4" x14ac:dyDescent="0.25">
      <c r="C195" s="23"/>
      <c r="D195" s="24"/>
    </row>
    <row r="196" spans="3:4" x14ac:dyDescent="0.25">
      <c r="C196" s="23"/>
      <c r="D196" s="24"/>
    </row>
    <row r="197" spans="3:4" x14ac:dyDescent="0.25">
      <c r="C197" s="23"/>
      <c r="D197" s="24"/>
    </row>
    <row r="198" spans="3:4" x14ac:dyDescent="0.25">
      <c r="C198" s="23"/>
      <c r="D198" s="24"/>
    </row>
    <row r="199" spans="3:4" x14ac:dyDescent="0.25">
      <c r="C199" s="23"/>
      <c r="D199" s="24"/>
    </row>
    <row r="200" spans="3:4" x14ac:dyDescent="0.25">
      <c r="C200" s="23"/>
      <c r="D200" s="24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tabSelected="1" zoomScale="85" zoomScaleNormal="85" workbookViewId="0">
      <selection activeCell="X33" sqref="X33"/>
    </sheetView>
  </sheetViews>
  <sheetFormatPr defaultColWidth="8.875" defaultRowHeight="15.75" x14ac:dyDescent="0.25"/>
  <cols>
    <col min="1" max="1" width="31.5" bestFit="1" customWidth="1"/>
    <col min="2" max="2" width="30" customWidth="1"/>
    <col min="4" max="4" width="30" customWidth="1"/>
    <col min="5" max="11" width="11.625" customWidth="1"/>
    <col min="12" max="12" width="15" customWidth="1"/>
    <col min="13" max="13" width="4.625" customWidth="1"/>
    <col min="14" max="21" width="11.625" customWidth="1"/>
    <col min="22" max="22" width="4.625" customWidth="1"/>
    <col min="23" max="23" width="28.375" customWidth="1"/>
    <col min="24" max="24" width="11.625" customWidth="1"/>
    <col min="25" max="25" width="10.875" customWidth="1"/>
    <col min="26" max="26" width="18.625" bestFit="1" customWidth="1"/>
    <col min="27" max="27" width="8.125" bestFit="1" customWidth="1"/>
    <col min="28" max="28" width="56.125" bestFit="1" customWidth="1"/>
  </cols>
  <sheetData>
    <row r="1" spans="1:28" ht="24" x14ac:dyDescent="0.4">
      <c r="A1" s="5" t="s">
        <v>138</v>
      </c>
      <c r="D1" s="9" t="s">
        <v>145</v>
      </c>
    </row>
    <row r="2" spans="1:28" x14ac:dyDescent="0.25">
      <c r="D2" s="14" t="s">
        <v>146</v>
      </c>
      <c r="E2" s="13" t="s">
        <v>147</v>
      </c>
      <c r="F2" s="13" t="s">
        <v>22</v>
      </c>
      <c r="G2" s="13" t="s">
        <v>54</v>
      </c>
      <c r="H2" s="13" t="s">
        <v>34</v>
      </c>
      <c r="I2" s="13" t="s">
        <v>44</v>
      </c>
      <c r="J2" s="13" t="s">
        <v>120</v>
      </c>
      <c r="K2" s="13" t="s">
        <v>148</v>
      </c>
      <c r="L2" s="13" t="s">
        <v>149</v>
      </c>
      <c r="W2" s="15" t="s">
        <v>150</v>
      </c>
      <c r="X2" s="15"/>
      <c r="Z2" s="15" t="s">
        <v>158</v>
      </c>
      <c r="AA2" s="15"/>
      <c r="AB2" s="15"/>
    </row>
    <row r="3" spans="1:28" ht="18.75" x14ac:dyDescent="0.3">
      <c r="A3" s="6" t="s">
        <v>139</v>
      </c>
      <c r="B3" s="7">
        <f>COUNTA('Loot History'!D2:D1000)</f>
        <v>126</v>
      </c>
      <c r="D3" t="str" cm="1">
        <f t="array" ref="D3:D32">IFERROR(_xlfn._xlws.SORT(_xlfn.UNIQUE(_xlfn._xlws.FILTER('Loot History'!A2:A1000,'Loot History'!A2:A1000&lt;&gt;""))),"")</f>
        <v>Actitibe-Thunderstrike</v>
      </c>
      <c r="E3" s="11">
        <f>IF(D3="","",COUNTIF('Loot History'!$A:$A,D3))</f>
        <v>2</v>
      </c>
      <c r="F3" s="11">
        <f>IF(D3="","",COUNTIFS('Loot History'!$A:$A,D3,'Loot History'!$G:$G,"BiS"))</f>
        <v>0</v>
      </c>
      <c r="G3" s="11">
        <f>IF(D3="","",COUNTIFS('Loot History'!$A:$A,D3,'Loot History'!$G:$G,"2nd BiS"))</f>
        <v>0</v>
      </c>
      <c r="H3" s="11">
        <f>IF(D3="","",COUNTIFS('Loot History'!$A:$A,D3,'Loot History'!$G:$G,"Upgrade"))</f>
        <v>2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151</v>
      </c>
      <c r="X3" s="6" t="s">
        <v>152</v>
      </c>
      <c r="Z3" s="6" t="s">
        <v>159</v>
      </c>
      <c r="AA3" s="6" t="s">
        <v>152</v>
      </c>
      <c r="AB3" s="6" t="s">
        <v>160</v>
      </c>
    </row>
    <row r="4" spans="1:28" ht="18.75" x14ac:dyDescent="0.3">
      <c r="A4" s="6" t="s">
        <v>140</v>
      </c>
      <c r="B4" s="7" cm="1">
        <f t="array" ref="B4">SUMPRODUCT(('Loot History'!A2:A1000&lt;&gt;"")/COUNTIF('Loot History'!A2:A1000,'Loot History'!A2:A1000&amp;""))</f>
        <v>29.999999999999989</v>
      </c>
      <c r="D4" t="str">
        <v>Aethrîa-Thunderstrike</v>
      </c>
      <c r="E4" s="11">
        <f>IF(D4="","",COUNTIF('Loot History'!$A:$A,D4))</f>
        <v>5</v>
      </c>
      <c r="F4" s="11">
        <f>IF(D4="","",COUNTIFS('Loot History'!$A:$A,D4,'Loot History'!$G:$G,"BiS"))</f>
        <v>3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15">IFERROR(_xlfn._xlws.SORT(_xlfn.UNIQUE(_xlfn._xlws.FILTER('Loot History'!K2:K1000,'Loot History'!K2:K1000&lt;&gt;""))),"")</f>
        <v>Al'ar</v>
      </c>
      <c r="X4" s="11">
        <f>IF(W4="","",COUNTIF('Loot History'!$K:$K,W4))</f>
        <v>3</v>
      </c>
      <c r="Z4" s="4" cm="1">
        <f t="array" ref="Z4:Z9">IFERROR(_xlfn._xlws.SORT(_xlfn.UNIQUE(_xlfn._xlws.FILTER('Loot History'!B2:B1000,'Loot History'!B2:B1000&lt;&gt;""))),"")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Echsenkessel: Höhle des Schlangenschreins-25 Spieler</v>
      </c>
    </row>
    <row r="5" spans="1:28" ht="18.75" x14ac:dyDescent="0.3">
      <c r="A5" s="6" t="s">
        <v>141</v>
      </c>
      <c r="B5" s="7" cm="1">
        <f t="array" ref="B5">SUMPRODUCT(('Loot History'!B2:B1000&lt;&gt;"")/COUNTIF('Loot History'!B2:B1000,'Loot History'!B2:B1000&amp;""))</f>
        <v>5.9999999999999956</v>
      </c>
      <c r="D5" t="str">
        <v>Alàén-Thunderstrike</v>
      </c>
      <c r="E5" s="11">
        <f>IF(D5="","",COUNTIF('Loot History'!$A:$A,D5))</f>
        <v>5</v>
      </c>
      <c r="F5" s="11">
        <f>IF(D5="","",COUNTIFS('Loot History'!$A:$A,D5,'Loot History'!$G:$G,"BiS"))</f>
        <v>1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1</v>
      </c>
      <c r="I5" s="11">
        <f>IF(D5="","",COUNTIFS('Loot History'!$A:$A,D5,'Loot History'!$G:$G,"Offspecc"))</f>
        <v>1</v>
      </c>
      <c r="J5" s="11">
        <f>IF(D5="","",COUNTIFS('Loot History'!$A:$A,D5,'Loot History'!$G:$G,"Passen"))</f>
        <v>0</v>
      </c>
      <c r="K5" s="11">
        <f t="shared" si="0"/>
        <v>0</v>
      </c>
      <c r="L5" t="str">
        <f>IF(D5="","",IFERROR(INDEX('Loot History'!$I:$I,MATCH(D5,'Loot History'!$A:$A,0)),""))</f>
        <v>PALADIN</v>
      </c>
      <c r="W5" t="str">
        <v>Das Grauen aus der Tiefe</v>
      </c>
      <c r="X5" s="11">
        <f>IF(W5="","",COUNTIF('Loot History'!$K:$K,W5))</f>
        <v>3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8.75" x14ac:dyDescent="0.3">
      <c r="A6" s="6" t="s">
        <v>142</v>
      </c>
      <c r="B6" s="8">
        <f>_xlfn.MINIFS('Loot History'!B2:B1000,'Loot History'!B2:B1000,"&gt;0")</f>
        <v>46160</v>
      </c>
      <c r="D6" t="str">
        <v>Bigfutti-Thunderstrike</v>
      </c>
      <c r="E6" s="11">
        <f>IF(D6="","",COUNTIF('Loot History'!$A:$A,D6))</f>
        <v>3</v>
      </c>
      <c r="F6" s="11">
        <f>IF(D6="","",COUNTIFS('Loot History'!$A:$A,D6,'Loot History'!$G:$G,"BiS"))</f>
        <v>3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0</v>
      </c>
      <c r="I6" s="11">
        <f>IF(D6="","",COUNTIFS('Loot History'!$A:$A,D6,'Loot History'!$G:$G,"Offspecc"))</f>
        <v>0</v>
      </c>
      <c r="J6" s="11">
        <f>IF(D6="","",COUNTIFS('Loot History'!$A:$A,D6,'Loot History'!$G:$G,"Passen"))</f>
        <v>0</v>
      </c>
      <c r="K6" s="11">
        <f t="shared" si="0"/>
        <v>0</v>
      </c>
      <c r="L6" t="str">
        <f>IF(D6="","",IFERROR(INDEX('Loot History'!$I:$I,MATCH(D6,'Loot History'!$A:$A,0)),""))</f>
        <v>PRIEST</v>
      </c>
      <c r="W6" t="str">
        <v>Gruul der Drachenschlächter</v>
      </c>
      <c r="X6" s="11">
        <f>IF(W6="","",COUNTIF('Loot History'!$K:$K,W6))</f>
        <v>9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Echsenkessel: Höhle des Schlangenschreins-25 Spieler</v>
      </c>
    </row>
    <row r="7" spans="1:28" ht="18.75" x14ac:dyDescent="0.3">
      <c r="A7" s="6" t="s">
        <v>143</v>
      </c>
      <c r="B7" s="8">
        <f>MAX('Loot History'!B2:B1000)</f>
        <v>46174</v>
      </c>
      <c r="D7" t="str">
        <v>Fetzine-Thunderstrike</v>
      </c>
      <c r="E7" s="11">
        <f>IF(D7="","",COUNTIF('Loot History'!$A:$A,D7))</f>
        <v>6</v>
      </c>
      <c r="F7" s="11">
        <f>IF(D7="","",COUNTIFS('Loot History'!$A:$A,D7,'Loot History'!$G:$G,"BiS"))</f>
        <v>1</v>
      </c>
      <c r="G7" s="11">
        <f>IF(D7="","",COUNTIFS('Loot History'!$A:$A,D7,'Loot History'!$G:$G,"2nd BiS"))</f>
        <v>1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3</v>
      </c>
      <c r="J7" s="11">
        <f>IF(D7="","",COUNTIFS('Loot History'!$A:$A,D7,'Loot History'!$G:$G,"Passen"))</f>
        <v>1</v>
      </c>
      <c r="K7" s="11">
        <f t="shared" si="0"/>
        <v>0</v>
      </c>
      <c r="L7" t="str">
        <f>IF(D7="","",IFERROR(INDEX('Loot History'!$I:$I,MATCH(D7,'Loot History'!$A:$A,0)),""))</f>
        <v>HUNTER</v>
      </c>
      <c r="W7" t="str">
        <v>Hydross der Unstete</v>
      </c>
      <c r="X7" s="11">
        <f>IF(W7="","",COUNTIF('Loot History'!$K:$K,W7))</f>
        <v>3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8.75" x14ac:dyDescent="0.3">
      <c r="A8" s="6" t="s">
        <v>144</v>
      </c>
      <c r="B8" s="7" cm="1">
        <f t="array" ref="B8">SUMPRODUCT(('Loot History'!K2:K1000&lt;&gt;"")/COUNTIF('Loot History'!K2:K1000,'Loot History'!K2:K1000&amp;""))</f>
        <v>11.999999999999986</v>
      </c>
      <c r="D8" t="str">
        <v>Flieege-Thunderstrike</v>
      </c>
      <c r="E8" s="11">
        <f>IF(D8="","",COUNTIF('Loot History'!$A:$A,D8))</f>
        <v>2</v>
      </c>
      <c r="F8" s="11">
        <f>IF(D8="","",COUNTIFS('Loot History'!$A:$A,D8,'Loot History'!$G:$G,"BiS"))</f>
        <v>2</v>
      </c>
      <c r="G8" s="11">
        <f>IF(D8="","",COUNTIFS('Loot History'!$A:$A,D8,'Loot History'!$G:$G,"2nd BiS"))</f>
        <v>0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0</v>
      </c>
      <c r="J8" s="11">
        <f>IF(D8="","",COUNTIFS('Loot History'!$A:$A,D8,'Loot History'!$G:$G,"Passen"))</f>
        <v>0</v>
      </c>
      <c r="K8" s="11">
        <f t="shared" si="0"/>
        <v>0</v>
      </c>
      <c r="L8" t="str">
        <f>IF(D8="","",IFERROR(INDEX('Loot History'!$I:$I,MATCH(D8,'Loot History'!$A:$A,0)),""))</f>
        <v>WARLOCK</v>
      </c>
      <c r="W8" t="str">
        <v>Kael'thas Sunstrider</v>
      </c>
      <c r="X8" s="11">
        <f>IF(W8="","",COUNTIF('Loot History'!$K:$K,W8))</f>
        <v>31</v>
      </c>
      <c r="Z8" s="4">
        <v>46170</v>
      </c>
      <c r="AA8" s="11">
        <f>IF(Z8="","",COUNTIF('Loot History'!$B:$B,Z8))</f>
        <v>41</v>
      </c>
      <c r="AB8" t="str">
        <f>IF(Z8="","",IFERROR(INDEX('Loot History'!$J:$J,MATCH(Z8,'Loot History'!$B:$B,0)),""))</f>
        <v>Echsenkessel: Höhle des Schlangenschreins-25 Spieler</v>
      </c>
    </row>
    <row r="9" spans="1:28" x14ac:dyDescent="0.25">
      <c r="D9" t="str">
        <v>Gerdarogers-Thunderstrike</v>
      </c>
      <c r="E9" s="11">
        <f>IF(D9="","",COUNTIF('Loot History'!$A:$A,D9))</f>
        <v>2</v>
      </c>
      <c r="F9" s="11">
        <f>IF(D9="","",COUNTIFS('Loot History'!$A:$A,D9,'Loot History'!$G:$G,"BiS"))</f>
        <v>1</v>
      </c>
      <c r="G9" s="11">
        <f>IF(D9="","",COUNTIFS('Loot History'!$A:$A,D9,'Loot History'!$G:$G,"2nd BiS"))</f>
        <v>1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Lady Vashj</v>
      </c>
      <c r="X9" s="11">
        <f>IF(W9="","",COUNTIF('Loot History'!$K:$K,W9))</f>
        <v>10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Festung der Stürme-25 Spieler</v>
      </c>
    </row>
    <row r="10" spans="1:28" x14ac:dyDescent="0.25">
      <c r="D10" t="str">
        <v>Grathmok-Thunderstrike</v>
      </c>
      <c r="E10" s="11">
        <f>IF(D10="","",COUNTIF('Loot History'!$A:$A,D10))</f>
        <v>2</v>
      </c>
      <c r="F10" s="11">
        <f>IF(D10="","",COUNTIFS('Loot History'!$A:$A,D10,'Loot History'!$G:$G,"BiS"))</f>
        <v>1</v>
      </c>
      <c r="G10" s="11">
        <f>IF(D10="","",COUNTIFS('Loot History'!$A:$A,D10,'Loot History'!$G:$G,"2nd BiS"))</f>
        <v>0</v>
      </c>
      <c r="H10" s="11">
        <f>IF(D10="","",COUNTIFS('Loot History'!$A:$A,D10,'Loot History'!$G:$G,"Upgrade"))</f>
        <v>1</v>
      </c>
      <c r="I10" s="11">
        <f>IF(D10="","",COUNTIFS('Loot History'!$A:$A,D10,'Loot History'!$G:$G,"Offspecc"))</f>
        <v>0</v>
      </c>
      <c r="J10" s="11">
        <f>IF(D10="","",COUNTIFS('Loot History'!$A:$A,D10,'Loot History'!$G:$G,"Passen"))</f>
        <v>0</v>
      </c>
      <c r="K10" s="11">
        <f t="shared" si="0"/>
        <v>0</v>
      </c>
      <c r="L10" t="str">
        <f>IF(D10="","",IFERROR(INDEX('Loot History'!$I:$I,MATCH(D10,'Loot History'!$A:$A,0)),""))</f>
        <v>SHAMAN</v>
      </c>
      <c r="W10" t="str">
        <v>Leerhäscher</v>
      </c>
      <c r="X10" s="11">
        <f>IF(W10="","",COUNTIF('Loot History'!$K:$K,W10))</f>
        <v>4</v>
      </c>
      <c r="Z10" s="4"/>
      <c r="AA10" s="11" t="str">
        <f>IF(Z10="","",COUNTIF('Loot History'!$B:$B,Z10))</f>
        <v/>
      </c>
      <c r="AB10" t="str">
        <f>IF(Z10="","",IFERROR(INDEX('Loot History'!$J:$J,MATCH(Z10,'Loot History'!$B:$B,0)),""))</f>
        <v/>
      </c>
    </row>
    <row r="11" spans="1:28" x14ac:dyDescent="0.25">
      <c r="D11" t="str">
        <v>Heislbärt-Thunderstrike</v>
      </c>
      <c r="E11" s="11">
        <f>IF(D11="","",COUNTIF('Loot History'!$A:$A,D11))</f>
        <v>8</v>
      </c>
      <c r="F11" s="11">
        <f>IF(D11="","",COUNTIFS('Loot History'!$A:$A,D11,'Loot History'!$G:$G,"BiS"))</f>
        <v>5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0</v>
      </c>
      <c r="I11" s="11">
        <f>IF(D11="","",COUNTIFS('Loot History'!$A:$A,D11,'Loot History'!$G:$G,"Offspecc"))</f>
        <v>0</v>
      </c>
      <c r="J11" s="11">
        <f>IF(D11="","",COUNTIFS('Loot History'!$A:$A,D11,'Loot History'!$G:$G,"Passen"))</f>
        <v>0</v>
      </c>
      <c r="K11" s="11">
        <f t="shared" si="0"/>
        <v>3</v>
      </c>
      <c r="L11" t="str">
        <f>IF(D11="","",IFERROR(INDEX('Loot History'!$I:$I,MATCH(D11,'Loot History'!$A:$A,0)),""))</f>
        <v>DRUID</v>
      </c>
      <c r="W11" t="str">
        <v>Leotheras der Blinde</v>
      </c>
      <c r="X11" s="11">
        <f>IF(W11="","",COUNTIF('Loot History'!$K:$K,W11))</f>
        <v>19</v>
      </c>
      <c r="Z11" s="4"/>
      <c r="AA11" s="11" t="str">
        <f>IF(Z11="","",COUNTIF('Loot History'!$B:$B,Z11))</f>
        <v/>
      </c>
      <c r="AB11" t="str">
        <f>IF(Z11="","",IFERROR(INDEX('Loot History'!$J:$J,MATCH(Z11,'Loot History'!$B:$B,0)),""))</f>
        <v/>
      </c>
    </row>
    <row r="12" spans="1:28" x14ac:dyDescent="0.25">
      <c r="D12" t="str">
        <v>Hutro-Thunderstrike</v>
      </c>
      <c r="E12" s="11">
        <f>IF(D12="","",COUNTIF('Loot History'!$A:$A,D12))</f>
        <v>1</v>
      </c>
      <c r="F12" s="11">
        <f>IF(D12="","",COUNTIFS('Loot History'!$A:$A,D12,'Loot History'!$G:$G,"BiS"))</f>
        <v>0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0</v>
      </c>
      <c r="I12" s="11">
        <f>IF(D12="","",COUNTIFS('Loot History'!$A:$A,D12,'Loot History'!$G:$G,"Offspecc"))</f>
        <v>1</v>
      </c>
      <c r="J12" s="11">
        <f>IF(D12="","",COUNTIFS('Loot History'!$A:$A,D12,'Loot History'!$G:$G,"Passen"))</f>
        <v>0</v>
      </c>
      <c r="K12" s="11">
        <f t="shared" si="0"/>
        <v>0</v>
      </c>
      <c r="L12" t="str">
        <f>IF(D12="","",IFERROR(INDEX('Loot History'!$I:$I,MATCH(D12,'Loot History'!$A:$A,0)),""))</f>
        <v>ROGUE</v>
      </c>
      <c r="W12" t="str">
        <v>Magtheridon</v>
      </c>
      <c r="X12" s="11">
        <f>IF(W12="","",COUNTIF('Loot History'!$K:$K,W12))</f>
        <v>8</v>
      </c>
      <c r="Z12" s="4"/>
      <c r="AA12" s="11" t="str">
        <f>IF(Z12="","",COUNTIF('Loot History'!$B:$B,Z12))</f>
        <v/>
      </c>
      <c r="AB12" t="str">
        <f>IF(Z12="","",IFERROR(INDEX('Loot History'!$J:$J,MATCH(Z12,'Loot History'!$B:$B,0)),""))</f>
        <v/>
      </c>
    </row>
    <row r="13" spans="1:28" x14ac:dyDescent="0.25">
      <c r="D13" t="str">
        <v>Keindaemon-Thunderstrike</v>
      </c>
      <c r="E13" s="11">
        <f>IF(D13="","",COUNTIF('Loot History'!$A:$A,D13))</f>
        <v>8</v>
      </c>
      <c r="F13" s="11">
        <f>IF(D13="","",COUNTIFS('Loot History'!$A:$A,D13,'Loot History'!$G:$G,"BiS"))</f>
        <v>4</v>
      </c>
      <c r="G13" s="11">
        <f>IF(D13="","",COUNTIFS('Loot History'!$A:$A,D13,'Loot History'!$G:$G,"2nd BiS"))</f>
        <v>1</v>
      </c>
      <c r="H13" s="11">
        <f>IF(D13="","",COUNTIFS('Loot History'!$A:$A,D13,'Loot History'!$G:$G,"Upgrade"))</f>
        <v>1</v>
      </c>
      <c r="I13" s="11">
        <f>IF(D13="","",COUNTIFS('Loot History'!$A:$A,D13,'Loot History'!$G:$G,"Offspecc"))</f>
        <v>1</v>
      </c>
      <c r="J13" s="11">
        <f>IF(D13="","",COUNTIFS('Loot History'!$A:$A,D13,'Loot History'!$G:$G,"Passen"))</f>
        <v>0</v>
      </c>
      <c r="K13" s="11">
        <f t="shared" si="0"/>
        <v>1</v>
      </c>
      <c r="L13" t="str">
        <f>IF(D13="","",IFERROR(INDEX('Loot History'!$I:$I,MATCH(D13,'Loot History'!$A:$A,0)),""))</f>
        <v>DRUID</v>
      </c>
      <c r="W13" t="str">
        <v>Morogrim Gezeitenwandler</v>
      </c>
      <c r="X13" s="11">
        <f>IF(W13="","",COUNTIF('Loot History'!$K:$K,W13))</f>
        <v>18</v>
      </c>
      <c r="Z13" s="4"/>
      <c r="AA13" s="11" t="str">
        <f>IF(Z13="","",COUNTIF('Loot History'!$B:$B,Z13))</f>
        <v/>
      </c>
      <c r="AB13" t="str">
        <f>IF(Z13="","",IFERROR(INDEX('Loot History'!$J:$J,MATCH(Z13,'Loot History'!$B:$B,0)),""))</f>
        <v/>
      </c>
    </row>
    <row r="14" spans="1:28" x14ac:dyDescent="0.25">
      <c r="D14" t="str">
        <v>Klaaw-Thunderstrike</v>
      </c>
      <c r="E14" s="11">
        <f>IF(D14="","",COUNTIF('Loot History'!$A:$A,D14))</f>
        <v>5</v>
      </c>
      <c r="F14" s="11">
        <f>IF(D14="","",COUNTIFS('Loot History'!$A:$A,D14,'Loot History'!$G:$G,"BiS"))</f>
        <v>4</v>
      </c>
      <c r="G14" s="11">
        <f>IF(D14="","",COUNTIFS('Loot History'!$A:$A,D14,'Loot History'!$G:$G,"2nd BiS"))</f>
        <v>1</v>
      </c>
      <c r="H14" s="11">
        <f>IF(D14="","",COUNTIFS('Loot History'!$A:$A,D14,'Loot History'!$G:$G,"Upgrade"))</f>
        <v>0</v>
      </c>
      <c r="I14" s="11">
        <f>IF(D14="","",COUNTIFS('Loot History'!$A:$A,D14,'Loot History'!$G:$G,"Offspecc"))</f>
        <v>0</v>
      </c>
      <c r="J14" s="11">
        <f>IF(D14="","",COUNTIFS('Loot History'!$A:$A,D14,'Loot History'!$G:$G,"Passen"))</f>
        <v>0</v>
      </c>
      <c r="K14" s="11">
        <f t="shared" si="0"/>
        <v>0</v>
      </c>
      <c r="L14" t="str">
        <f>IF(D14="","",IFERROR(INDEX('Loot History'!$I:$I,MATCH(D14,'Loot History'!$A:$A,0)),""))</f>
        <v>HUNTER</v>
      </c>
      <c r="W14" t="str">
        <v>Tiefenlord Karathress</v>
      </c>
      <c r="X14" s="11">
        <f>IF(W14="","",COUNTIF('Loot History'!$K:$K,W14))</f>
        <v>12</v>
      </c>
      <c r="Z14" s="4"/>
      <c r="AA14" s="11" t="str">
        <f>IF(Z14="","",COUNTIF('Loot History'!$B:$B,Z14))</f>
        <v/>
      </c>
      <c r="AB14" t="str">
        <f>IF(Z14="","",IFERROR(INDEX('Loot History'!$J:$J,MATCH(Z14,'Loot History'!$B:$B,0)),""))</f>
        <v/>
      </c>
    </row>
    <row r="15" spans="1:28" x14ac:dyDescent="0.25">
      <c r="D15" t="str">
        <v>Lilyasx-Thunderstrike</v>
      </c>
      <c r="E15" s="11">
        <f>IF(D15="","",COUNTIF('Loot History'!$A:$A,D15))</f>
        <v>2</v>
      </c>
      <c r="F15" s="11">
        <f>IF(D15="","",COUNTIFS('Loot History'!$A:$A,D15,'Loot History'!$G:$G,"BiS"))</f>
        <v>0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1</v>
      </c>
      <c r="I15" s="11">
        <f>IF(D15="","",COUNTIFS('Loot History'!$A:$A,D15,'Loot History'!$G:$G,"Offspecc"))</f>
        <v>0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DRUID</v>
      </c>
      <c r="W15" t="str">
        <v>Unbekannt</v>
      </c>
      <c r="X15" s="11">
        <f>IF(W15="","",COUNTIF('Loot History'!$K:$K,W15))</f>
        <v>6</v>
      </c>
      <c r="Z15" s="4"/>
      <c r="AA15" s="11" t="str">
        <f>IF(Z15="","",COUNTIF('Loot History'!$B:$B,Z15))</f>
        <v/>
      </c>
      <c r="AB15" t="str">
        <f>IF(Z15="","",IFERROR(INDEX('Loot History'!$J:$J,MATCH(Z15,'Loot History'!$B:$B,0)),""))</f>
        <v/>
      </c>
    </row>
    <row r="16" spans="1:28" x14ac:dyDescent="0.25">
      <c r="D16" t="str">
        <v>Mahway-Thunderstrike</v>
      </c>
      <c r="E16" s="11">
        <f>IF(D16="","",COUNTIF('Loot History'!$A:$A,D16))</f>
        <v>1</v>
      </c>
      <c r="F16" s="11">
        <f>IF(D16="","",COUNTIFS('Loot History'!$A:$A,D16,'Loot History'!$G:$G,"BiS"))</f>
        <v>0</v>
      </c>
      <c r="G16" s="11">
        <f>IF(D16="","",COUNTIFS('Loot History'!$A:$A,D16,'Loot History'!$G:$G,"2nd BiS"))</f>
        <v>1</v>
      </c>
      <c r="H16" s="11">
        <f>IF(D16="","",COUNTIFS('Loot History'!$A:$A,D16,'Loot History'!$G:$G,"Upgrade"))</f>
        <v>0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SHAMAN</v>
      </c>
      <c r="X16" s="11" t="str">
        <f>IF(W16="","",COUNTIF('Loot History'!$K:$K,W16))</f>
        <v/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5">
      <c r="D17" t="str">
        <v>Mardinez-Thunderstrike</v>
      </c>
      <c r="E17" s="11">
        <f>IF(D17="","",COUNTIF('Loot History'!$A:$A,D17))</f>
        <v>4</v>
      </c>
      <c r="F17" s="11">
        <f>IF(D17="","",COUNTIFS('Loot History'!$A:$A,D17,'Loot History'!$G:$G,"BiS"))</f>
        <v>2</v>
      </c>
      <c r="G17" s="11">
        <f>IF(D17="","",COUNTIFS('Loot History'!$A:$A,D17,'Loot History'!$G:$G,"2nd BiS"))</f>
        <v>2</v>
      </c>
      <c r="H17" s="11">
        <f>IF(D17="","",COUNTIFS('Loot History'!$A:$A,D17,'Loot History'!$G:$G,"Upgrade"))</f>
        <v>0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PRIEST</v>
      </c>
      <c r="X17" s="11" t="str">
        <f>IF(W17="","",COUNTIF('Loot History'!$K:$K,W17))</f>
        <v/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5">
      <c r="D18" t="str">
        <v>Mokrash-Thunderstrike</v>
      </c>
      <c r="E18" s="11">
        <f>IF(D18="","",COUNTIF('Loot History'!$A:$A,D18))</f>
        <v>5</v>
      </c>
      <c r="F18" s="11">
        <f>IF(D18="","",COUNTIFS('Loot History'!$A:$A,D18,'Loot History'!$G:$G,"BiS"))</f>
        <v>5</v>
      </c>
      <c r="G18" s="11">
        <f>IF(D18="","",COUNTIFS('Loot History'!$A:$A,D18,'Loot History'!$G:$G,"2nd BiS"))</f>
        <v>0</v>
      </c>
      <c r="H18" s="11">
        <f>IF(D18="","",COUNTIFS('Loot History'!$A:$A,D18,'Loot History'!$G:$G,"Upgrade"))</f>
        <v>0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WARRIOR</v>
      </c>
      <c r="X18" s="11" t="str">
        <f>IF(W18="","",COUNTIF('Loot History'!$K:$K,W18))</f>
        <v/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5">
      <c r="D19" t="str">
        <v>Mommyfrieren-Thunderstrike</v>
      </c>
      <c r="E19" s="11">
        <f>IF(D19="","",COUNTIF('Loot History'!$A:$A,D19))</f>
        <v>4</v>
      </c>
      <c r="F19" s="11">
        <f>IF(D19="","",COUNTIFS('Loot History'!$A:$A,D19,'Loot History'!$G:$G,"BiS"))</f>
        <v>3</v>
      </c>
      <c r="G19" s="11">
        <f>IF(D19="","",COUNTIFS('Loot History'!$A:$A,D19,'Loot History'!$G:$G,"2nd BiS"))</f>
        <v>0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1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WARLOCK</v>
      </c>
      <c r="X19" s="11" t="str">
        <f>IF(W19="","",COUNTIF('Loot History'!$K:$K,W19))</f>
        <v/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5">
      <c r="D20" t="str">
        <v>Oßa-Thunderstrike</v>
      </c>
      <c r="E20" s="11">
        <f>IF(D20="","",COUNTIF('Loot History'!$A:$A,D20))</f>
        <v>4</v>
      </c>
      <c r="F20" s="11">
        <f>IF(D20="","",COUNTIFS('Loot History'!$A:$A,D20,'Loot History'!$G:$G,"BiS"))</f>
        <v>3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1</v>
      </c>
      <c r="I20" s="11">
        <f>IF(D20="","",COUNTIFS('Loot History'!$A:$A,D20,'Loot History'!$G:$G,"Offspecc"))</f>
        <v>0</v>
      </c>
      <c r="J20" s="11">
        <f>IF(D20="","",COUNTIFS('Loot History'!$A:$A,D20,'Loot History'!$G:$G,"Passen"))</f>
        <v>0</v>
      </c>
      <c r="K20" s="11">
        <f t="shared" si="0"/>
        <v>0</v>
      </c>
      <c r="L20" t="str">
        <f>IF(D20="","",IFERROR(INDEX('Loot History'!$I:$I,MATCH(D20,'Loot History'!$A:$A,0)),""))</f>
        <v>SHAMAN</v>
      </c>
      <c r="X20" s="11" t="str">
        <f>IF(W20="","",COUNTIF('Loot History'!$K:$K,W20))</f>
        <v/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5">
      <c r="D21" t="str">
        <v>Reezø-Thunderstrike</v>
      </c>
      <c r="E21" s="11">
        <f>IF(D21="","",COUNTIF('Loot History'!$A:$A,D21))</f>
        <v>8</v>
      </c>
      <c r="F21" s="11">
        <f>IF(D21="","",COUNTIFS('Loot History'!$A:$A,D21,'Loot History'!$G:$G,"BiS"))</f>
        <v>2</v>
      </c>
      <c r="G21" s="11">
        <f>IF(D21="","",COUNTIFS('Loot History'!$A:$A,D21,'Loot History'!$G:$G,"2nd BiS"))</f>
        <v>2</v>
      </c>
      <c r="H21" s="11">
        <f>IF(D21="","",COUNTIFS('Loot History'!$A:$A,D21,'Loot History'!$G:$G,"Upgrade"))</f>
        <v>3</v>
      </c>
      <c r="I21" s="11">
        <f>IF(D21="","",COUNTIFS('Loot History'!$A:$A,D21,'Loot History'!$G:$G,"Offspecc"))</f>
        <v>1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PALADIN</v>
      </c>
      <c r="X21" s="11" t="str">
        <f>IF(W21="","",COUNTIF('Loot History'!$K:$K,W21))</f>
        <v/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5">
      <c r="D22" t="str">
        <v>Ribsz-Thunderstrike</v>
      </c>
      <c r="E22" s="11">
        <f>IF(D22="","",COUNTIF('Loot History'!$A:$A,D22))</f>
        <v>1</v>
      </c>
      <c r="F22" s="11">
        <f>IF(D22="","",COUNTIFS('Loot History'!$A:$A,D22,'Loot History'!$G:$G,"BiS"))</f>
        <v>1</v>
      </c>
      <c r="G22" s="11">
        <f>IF(D22="","",COUNTIFS('Loot History'!$A:$A,D22,'Loot History'!$G:$G,"2nd BiS"))</f>
        <v>0</v>
      </c>
      <c r="H22" s="11">
        <f>IF(D22="","",COUNTIFS('Loot History'!$A:$A,D22,'Loot History'!$G:$G,"Upgrade"))</f>
        <v>0</v>
      </c>
      <c r="I22" s="11">
        <f>IF(D22="","",COUNTIFS('Loot History'!$A:$A,D22,'Loot History'!$G:$G,"Offspecc"))</f>
        <v>0</v>
      </c>
      <c r="J22" s="11">
        <f>IF(D22="","",COUNTIFS('Loot History'!$A:$A,D22,'Loot History'!$G:$G,"Passen"))</f>
        <v>0</v>
      </c>
      <c r="K22" s="11">
        <f t="shared" si="0"/>
        <v>0</v>
      </c>
      <c r="L22" t="str">
        <f>IF(D22="","",IFERROR(INDEX('Loot History'!$I:$I,MATCH(D22,'Loot History'!$A:$A,0)),""))</f>
        <v>MAGE</v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5">
      <c r="D23" t="str">
        <v>Shreklich-Thunderstrike</v>
      </c>
      <c r="E23" s="11">
        <f>IF(D23="","",COUNTIF('Loot History'!$A:$A,D23))</f>
        <v>2</v>
      </c>
      <c r="F23" s="11">
        <f>IF(D23="","",COUNTIFS('Loot History'!$A:$A,D23,'Loot History'!$G:$G,"BiS"))</f>
        <v>1</v>
      </c>
      <c r="G23" s="11">
        <f>IF(D23="","",COUNTIFS('Loot History'!$A:$A,D23,'Loot History'!$G:$G,"2nd BiS"))</f>
        <v>0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1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WARRIOR</v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5">
      <c r="D24" t="str">
        <v>Spewspew-Thunderstrike</v>
      </c>
      <c r="E24" s="11">
        <f>IF(D24="","",COUNTIF('Loot History'!$A:$A,D24))</f>
        <v>4</v>
      </c>
      <c r="F24" s="11">
        <f>IF(D24="","",COUNTIFS('Loot History'!$A:$A,D24,'Loot History'!$G:$G,"BiS"))</f>
        <v>4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0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MAGE</v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5">
      <c r="D25" t="str">
        <v>Supmyaeth-Thunderstrike</v>
      </c>
      <c r="E25" s="11">
        <f>IF(D25="","",COUNTIF('Loot History'!$A:$A,D25))</f>
        <v>4</v>
      </c>
      <c r="F25" s="11">
        <f>IF(D25="","",COUNTIFS('Loot History'!$A:$A,D25,'Loot History'!$G:$G,"BiS"))</f>
        <v>2</v>
      </c>
      <c r="G25" s="11">
        <f>IF(D25="","",COUNTIFS('Loot History'!$A:$A,D25,'Loot History'!$G:$G,"2nd BiS"))</f>
        <v>0</v>
      </c>
      <c r="H25" s="11">
        <f>IF(D25="","",COUNTIFS('Loot History'!$A:$A,D25,'Loot History'!$G:$G,"Upgrade"))</f>
        <v>2</v>
      </c>
      <c r="I25" s="11">
        <f>IF(D25="","",COUNTIFS('Loot History'!$A:$A,D25,'Loot History'!$G:$G,"Offspecc"))</f>
        <v>0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SHAMAN</v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5">
      <c r="D26" t="str">
        <v>Tastycake-Thunderstrike</v>
      </c>
      <c r="E26" s="11">
        <f>IF(D26="","",COUNTIF('Loot History'!$A:$A,D26))</f>
        <v>4</v>
      </c>
      <c r="F26" s="11">
        <f>IF(D26="","",COUNTIFS('Loot History'!$A:$A,D26,'Loot History'!$G:$G,"BiS"))</f>
        <v>2</v>
      </c>
      <c r="G26" s="11">
        <f>IF(D26="","",COUNTIFS('Loot History'!$A:$A,D26,'Loot History'!$G:$G,"2nd BiS"))</f>
        <v>0</v>
      </c>
      <c r="H26" s="11">
        <f>IF(D26="","",COUNTIFS('Loot History'!$A:$A,D26,'Loot History'!$G:$G,"Upgrade"))</f>
        <v>1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1</v>
      </c>
      <c r="L26" t="str">
        <f>IF(D26="","",IFERROR(INDEX('Loot History'!$I:$I,MATCH(D26,'Loot History'!$A:$A,0)),""))</f>
        <v>MAGE</v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5">
      <c r="D27" t="str">
        <v>Tommypenn-Thunderstrike</v>
      </c>
      <c r="E27" s="11">
        <f>IF(D27="","",COUNTIF('Loot History'!$A:$A,D27))</f>
        <v>3</v>
      </c>
      <c r="F27" s="11">
        <f>IF(D27="","",COUNTIFS('Loot History'!$A:$A,D27,'Loot History'!$G:$G,"BiS"))</f>
        <v>2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0</v>
      </c>
      <c r="I27" s="11">
        <f>IF(D27="","",COUNTIFS('Loot History'!$A:$A,D27,'Loot History'!$G:$G,"Offspecc"))</f>
        <v>1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SHAMAN</v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5">
      <c r="D28" t="str">
        <v>Tuarendrood-Thunderstrike</v>
      </c>
      <c r="E28" s="11">
        <f>IF(D28="","",COUNTIF('Loot History'!$A:$A,D28))</f>
        <v>3</v>
      </c>
      <c r="F28" s="11">
        <f>IF(D28="","",COUNTIFS('Loot History'!$A:$A,D28,'Loot History'!$G:$G,"BiS"))</f>
        <v>1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1</v>
      </c>
      <c r="J28" s="11">
        <f>IF(D28="","",COUNTIFS('Loot History'!$A:$A,D28,'Loot History'!$G:$G,"Passen"))</f>
        <v>0</v>
      </c>
      <c r="K28" s="11">
        <f t="shared" si="0"/>
        <v>0</v>
      </c>
      <c r="L28" t="str">
        <f>IF(D28="","",IFERROR(INDEX('Loot History'!$I:$I,MATCH(D28,'Loot History'!$A:$A,0)),""))</f>
        <v>DRUID</v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5">
      <c r="D29" t="str">
        <v>Xænd-Thunderstrike</v>
      </c>
      <c r="E29" s="11">
        <f>IF(D29="","",COUNTIF('Loot History'!$A:$A,D29))</f>
        <v>7</v>
      </c>
      <c r="F29" s="11">
        <f>IF(D29="","",COUNTIFS('Loot History'!$A:$A,D29,'Loot History'!$G:$G,"BiS"))</f>
        <v>3</v>
      </c>
      <c r="G29" s="11">
        <f>IF(D29="","",COUNTIFS('Loot History'!$A:$A,D29,'Loot History'!$G:$G,"2nd BiS"))</f>
        <v>3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1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WARRIOR</v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5">
      <c r="D30" t="str">
        <v>Zabipala-Thunderstrike</v>
      </c>
      <c r="E30" s="11">
        <f>IF(D30="","",COUNTIF('Loot History'!$A:$A,D30))</f>
        <v>9</v>
      </c>
      <c r="F30" s="11">
        <f>IF(D30="","",COUNTIFS('Loot History'!$A:$A,D30,'Loot History'!$G:$G,"BiS"))</f>
        <v>6</v>
      </c>
      <c r="G30" s="11">
        <f>IF(D30="","",COUNTIFS('Loot History'!$A:$A,D30,'Loot History'!$G:$G,"2nd BiS"))</f>
        <v>0</v>
      </c>
      <c r="H30" s="11">
        <f>IF(D30="","",COUNTIFS('Loot History'!$A:$A,D30,'Loot History'!$G:$G,"Upgrade"))</f>
        <v>1</v>
      </c>
      <c r="I30" s="11">
        <f>IF(D30="","",COUNTIFS('Loot History'!$A:$A,D30,'Loot History'!$G:$G,"Offspecc"))</f>
        <v>0</v>
      </c>
      <c r="J30" s="11">
        <f>IF(D30="","",COUNTIFS('Loot History'!$A:$A,D30,'Loot History'!$G:$G,"Passen"))</f>
        <v>1</v>
      </c>
      <c r="K30" s="11">
        <f t="shared" ref="K30:K32" si="1">IF(D30="","",IFERROR(E30-F30-G30-H30-I30-J30,0))</f>
        <v>1</v>
      </c>
      <c r="L30" t="str">
        <f>IF(D30="","",IFERROR(INDEX('Loot History'!$I:$I,MATCH(D30,'Loot History'!$A:$A,0)),""))</f>
        <v>PALADIN</v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5">
      <c r="D31" t="str">
        <v>Zerleger-Thunderstrike</v>
      </c>
      <c r="E31" s="11">
        <f>IF(D31="","",COUNTIF('Loot History'!$A:$A,D31))</f>
        <v>11</v>
      </c>
      <c r="F31" s="11">
        <f>IF(D31="","",COUNTIFS('Loot History'!$A:$A,D31,'Loot History'!$G:$G,"BiS"))</f>
        <v>5</v>
      </c>
      <c r="G31" s="11">
        <f>IF(D31="","",COUNTIFS('Loot History'!$A:$A,D31,'Loot History'!$G:$G,"2nd BiS"))</f>
        <v>0</v>
      </c>
      <c r="H31" s="11">
        <f>IF(D31="","",COUNTIFS('Loot History'!$A:$A,D31,'Loot History'!$G:$G,"Upgrade"))</f>
        <v>3</v>
      </c>
      <c r="I31" s="11">
        <f>IF(D31="","",COUNTIFS('Loot History'!$A:$A,D31,'Loot History'!$G:$G,"Offspecc"))</f>
        <v>2</v>
      </c>
      <c r="J31" s="11">
        <f>IF(D31="","",COUNTIFS('Loot History'!$A:$A,D31,'Loot History'!$G:$G,"Passen"))</f>
        <v>1</v>
      </c>
      <c r="K31" s="11">
        <f t="shared" si="1"/>
        <v>0</v>
      </c>
      <c r="L31" t="str">
        <f>IF(D31="","",IFERROR(INDEX('Loot History'!$I:$I,MATCH(D31,'Loot History'!$A:$A,0)),""))</f>
        <v>WARRIOR</v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5">
      <c r="D32" t="str">
        <v>Zzou-Thunderstrike</v>
      </c>
      <c r="E32" s="11">
        <f>IF(D32="","",COUNTIF('Loot History'!$A:$A,D32))</f>
        <v>1</v>
      </c>
      <c r="F32" s="11">
        <f>IF(D32="","",COUNTIFS('Loot History'!$A:$A,D32,'Loot History'!$G:$G,"BiS"))</f>
        <v>1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0</v>
      </c>
      <c r="I32" s="11">
        <f>IF(D32="","",COUNTIFS('Loot History'!$A:$A,D32,'Loot History'!$G:$G,"Offspecc"))</f>
        <v>0</v>
      </c>
      <c r="J32" s="11">
        <f>IF(D32="","",COUNTIFS('Loot History'!$A:$A,D32,'Loot History'!$G:$G,"Passen"))</f>
        <v>0</v>
      </c>
      <c r="K32" s="11">
        <f t="shared" si="1"/>
        <v>0</v>
      </c>
      <c r="L32" t="str">
        <f>IF(D32="","",IFERROR(INDEX('Loot History'!$I:$I,MATCH(D32,'Loot History'!$A:$A,0)),""))</f>
        <v>HUNTER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5:28" x14ac:dyDescent="0.25"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5:28" x14ac:dyDescent="0.25"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5:28" x14ac:dyDescent="0.25"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5:28" x14ac:dyDescent="0.25"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5:28" x14ac:dyDescent="0.25"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5:28" x14ac:dyDescent="0.25"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5:28" x14ac:dyDescent="0.25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5:28" x14ac:dyDescent="0.25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5:28" x14ac:dyDescent="0.25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5:28" x14ac:dyDescent="0.25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5:28" x14ac:dyDescent="0.25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5:28" x14ac:dyDescent="0.25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5:28" x14ac:dyDescent="0.25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2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5:28" x14ac:dyDescent="0.25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2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5:28" x14ac:dyDescent="0.25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2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5:28" x14ac:dyDescent="0.25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2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5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2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5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2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5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2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5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2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5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2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5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2"/>
        <v/>
      </c>
      <c r="L54" t="str">
        <f>IF(D54="","",IFERROR(INDEX('Loot History'!$I:$I,MATCH(D54,'Loot History'!$A:$A,0)),""))</f>
        <v/>
      </c>
    </row>
    <row r="55" spans="5:28" x14ac:dyDescent="0.25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2"/>
        <v/>
      </c>
      <c r="L55" t="str">
        <f>IF(D55="","",IFERROR(INDEX('Loot History'!$I:$I,MATCH(D55,'Loot History'!$A:$A,0)),""))</f>
        <v/>
      </c>
    </row>
    <row r="56" spans="5:28" x14ac:dyDescent="0.25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2"/>
        <v/>
      </c>
      <c r="L56" t="str">
        <f>IF(D56="","",IFERROR(INDEX('Loot History'!$I:$I,MATCH(D56,'Loot History'!$A:$A,0)),""))</f>
        <v/>
      </c>
    </row>
    <row r="57" spans="5:28" x14ac:dyDescent="0.25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2"/>
        <v/>
      </c>
      <c r="L57" t="str">
        <f>IF(D57="","",IFERROR(INDEX('Loot History'!$I:$I,MATCH(D57,'Loot History'!$A:$A,0)),""))</f>
        <v/>
      </c>
    </row>
    <row r="58" spans="5:28" x14ac:dyDescent="0.25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2"/>
        <v/>
      </c>
      <c r="L58" t="str">
        <f>IF(D58="","",IFERROR(INDEX('Loot History'!$I:$I,MATCH(D58,'Loot History'!$A:$A,0)),""))</f>
        <v/>
      </c>
    </row>
    <row r="59" spans="5:28" x14ac:dyDescent="0.25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2"/>
        <v/>
      </c>
      <c r="L59" t="str">
        <f>IF(D59="","",IFERROR(INDEX('Loot History'!$I:$I,MATCH(D59,'Loot History'!$A:$A,0)),""))</f>
        <v/>
      </c>
    </row>
    <row r="60" spans="5:28" x14ac:dyDescent="0.25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2"/>
        <v/>
      </c>
      <c r="L60" t="str">
        <f>IF(D60="","",IFERROR(INDEX('Loot History'!$I:$I,MATCH(D60,'Loot History'!$A:$A,0)),""))</f>
        <v/>
      </c>
    </row>
    <row r="61" spans="5:28" x14ac:dyDescent="0.25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2"/>
        <v/>
      </c>
      <c r="L61" t="str">
        <f>IF(D61="","",IFERROR(INDEX('Loot History'!$I:$I,MATCH(D61,'Loot History'!$A:$A,0)),""))</f>
        <v/>
      </c>
    </row>
    <row r="62" spans="5:28" x14ac:dyDescent="0.25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2"/>
        <v/>
      </c>
      <c r="L62" t="str">
        <f>IF(D62="","",IFERROR(INDEX('Loot History'!$I:$I,MATCH(D62,'Loot History'!$A:$A,0)),""))</f>
        <v/>
      </c>
    </row>
    <row r="63" spans="5:28" x14ac:dyDescent="0.25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2"/>
        <v/>
      </c>
      <c r="L63" t="str">
        <f>IF(D63="","",IFERROR(INDEX('Loot History'!$I:$I,MATCH(D63,'Loot History'!$A:$A,0)),""))</f>
        <v/>
      </c>
    </row>
    <row r="64" spans="5:28" x14ac:dyDescent="0.25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2"/>
        <v/>
      </c>
      <c r="L64" t="str">
        <f>IF(D64="","",IFERROR(INDEX('Loot History'!$I:$I,MATCH(D64,'Loot History'!$A:$A,0)),""))</f>
        <v/>
      </c>
    </row>
    <row r="65" spans="5:12" x14ac:dyDescent="0.25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2"/>
        <v/>
      </c>
      <c r="L65" t="str">
        <f>IF(D65="","",IFERROR(INDEX('Loot History'!$I:$I,MATCH(D65,'Loot History'!$A:$A,0)),""))</f>
        <v/>
      </c>
    </row>
    <row r="66" spans="5:12" x14ac:dyDescent="0.25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2"/>
        <v/>
      </c>
      <c r="L66" t="str">
        <f>IF(D66="","",IFERROR(INDEX('Loot History'!$I:$I,MATCH(D66,'Loot History'!$A:$A,0)),""))</f>
        <v/>
      </c>
    </row>
    <row r="67" spans="5:12" x14ac:dyDescent="0.25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2"/>
        <v/>
      </c>
      <c r="L67" t="str">
        <f>IF(D67="","",IFERROR(INDEX('Loot History'!$I:$I,MATCH(D67,'Loot History'!$A:$A,0)),""))</f>
        <v/>
      </c>
    </row>
    <row r="68" spans="5:12" x14ac:dyDescent="0.25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2"/>
        <v/>
      </c>
      <c r="L68" t="str">
        <f>IF(D68="","",IFERROR(INDEX('Loot History'!$I:$I,MATCH(D68,'Loot History'!$A:$A,0)),""))</f>
        <v/>
      </c>
    </row>
    <row r="69" spans="5:12" x14ac:dyDescent="0.25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2"/>
        <v/>
      </c>
      <c r="L69" t="str">
        <f>IF(D69="","",IFERROR(INDEX('Loot History'!$I:$I,MATCH(D69,'Loot History'!$A:$A,0)),""))</f>
        <v/>
      </c>
    </row>
    <row r="70" spans="5:12" x14ac:dyDescent="0.25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2"/>
        <v/>
      </c>
      <c r="L70" t="str">
        <f>IF(D70="","",IFERROR(INDEX('Loot History'!$I:$I,MATCH(D70,'Loot History'!$A:$A,0)),""))</f>
        <v/>
      </c>
    </row>
    <row r="71" spans="5:12" x14ac:dyDescent="0.25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2"/>
        <v/>
      </c>
      <c r="L71" t="str">
        <f>IF(D71="","",IFERROR(INDEX('Loot History'!$I:$I,MATCH(D71,'Loot History'!$A:$A,0)),""))</f>
        <v/>
      </c>
    </row>
    <row r="72" spans="5:12" x14ac:dyDescent="0.25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2"/>
        <v/>
      </c>
      <c r="L72" t="str">
        <f>IF(D72="","",IFERROR(INDEX('Loot History'!$I:$I,MATCH(D72,'Loot History'!$A:$A,0)),""))</f>
        <v/>
      </c>
    </row>
    <row r="73" spans="5:12" x14ac:dyDescent="0.25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2"/>
        <v/>
      </c>
      <c r="L73" t="str">
        <f>IF(D73="","",IFERROR(INDEX('Loot History'!$I:$I,MATCH(D73,'Loot History'!$A:$A,0)),""))</f>
        <v/>
      </c>
    </row>
    <row r="74" spans="5:12" x14ac:dyDescent="0.25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2"/>
        <v/>
      </c>
      <c r="L74" t="str">
        <f>IF(D74="","",IFERROR(INDEX('Loot History'!$I:$I,MATCH(D74,'Loot History'!$A:$A,0)),""))</f>
        <v/>
      </c>
    </row>
    <row r="75" spans="5:12" x14ac:dyDescent="0.25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2"/>
        <v/>
      </c>
      <c r="L75" t="str">
        <f>IF(D75="","",IFERROR(INDEX('Loot History'!$I:$I,MATCH(D75,'Loot History'!$A:$A,0)),""))</f>
        <v/>
      </c>
    </row>
    <row r="76" spans="5:12" x14ac:dyDescent="0.25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2"/>
        <v/>
      </c>
      <c r="L76" t="str">
        <f>IF(D76="","",IFERROR(INDEX('Loot History'!$I:$I,MATCH(D76,'Loot History'!$A:$A,0)),""))</f>
        <v/>
      </c>
    </row>
    <row r="77" spans="5:12" x14ac:dyDescent="0.25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3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5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3"/>
        <v/>
      </c>
      <c r="L78" t="str">
        <f>IF(D78="","",IFERROR(INDEX('Loot History'!$I:$I,MATCH(D78,'Loot History'!$A:$A,0)),""))</f>
        <v/>
      </c>
    </row>
    <row r="79" spans="5:12" x14ac:dyDescent="0.25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3"/>
        <v/>
      </c>
      <c r="L79" t="str">
        <f>IF(D79="","",IFERROR(INDEX('Loot History'!$I:$I,MATCH(D79,'Loot History'!$A:$A,0)),""))</f>
        <v/>
      </c>
    </row>
    <row r="80" spans="5:12" x14ac:dyDescent="0.25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3"/>
        <v/>
      </c>
      <c r="L80" t="str">
        <f>IF(D80="","",IFERROR(INDEX('Loot History'!$I:$I,MATCH(D80,'Loot History'!$A:$A,0)),""))</f>
        <v/>
      </c>
    </row>
    <row r="81" spans="5:12" x14ac:dyDescent="0.25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3"/>
        <v/>
      </c>
      <c r="L81" t="str">
        <f>IF(D81="","",IFERROR(INDEX('Loot History'!$I:$I,MATCH(D81,'Loot History'!$A:$A,0)),""))</f>
        <v/>
      </c>
    </row>
    <row r="82" spans="5:12" x14ac:dyDescent="0.25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3"/>
        <v/>
      </c>
      <c r="L82" t="str">
        <f>IF(D82="","",IFERROR(INDEX('Loot History'!$I:$I,MATCH(D82,'Loot History'!$A:$A,0)),""))</f>
        <v/>
      </c>
    </row>
    <row r="83" spans="5:12" x14ac:dyDescent="0.25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3"/>
        <v/>
      </c>
      <c r="L83" t="str">
        <f>IF(D83="","",IFERROR(INDEX('Loot History'!$I:$I,MATCH(D83,'Loot History'!$A:$A,0)),""))</f>
        <v/>
      </c>
    </row>
    <row r="84" spans="5:12" x14ac:dyDescent="0.25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3"/>
        <v/>
      </c>
      <c r="L84" t="str">
        <f>IF(D84="","",IFERROR(INDEX('Loot History'!$I:$I,MATCH(D84,'Loot History'!$A:$A,0)),""))</f>
        <v/>
      </c>
    </row>
    <row r="85" spans="5:12" x14ac:dyDescent="0.25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3"/>
        <v/>
      </c>
      <c r="L85" t="str">
        <f>IF(D85="","",IFERROR(INDEX('Loot History'!$I:$I,MATCH(D85,'Loot History'!$A:$A,0)),""))</f>
        <v/>
      </c>
    </row>
    <row r="86" spans="5:12" x14ac:dyDescent="0.25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3"/>
        <v/>
      </c>
      <c r="L86" t="str">
        <f>IF(D86="","",IFERROR(INDEX('Loot History'!$I:$I,MATCH(D86,'Loot History'!$A:$A,0)),""))</f>
        <v/>
      </c>
    </row>
    <row r="87" spans="5:12" x14ac:dyDescent="0.25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3"/>
        <v/>
      </c>
      <c r="L87" t="str">
        <f>IF(D87="","",IFERROR(INDEX('Loot History'!$I:$I,MATCH(D87,'Loot History'!$A:$A,0)),""))</f>
        <v/>
      </c>
    </row>
    <row r="88" spans="5:12" x14ac:dyDescent="0.25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3"/>
        <v/>
      </c>
      <c r="L88" t="str">
        <f>IF(D88="","",IFERROR(INDEX('Loot History'!$I:$I,MATCH(D88,'Loot History'!$A:$A,0)),""))</f>
        <v/>
      </c>
    </row>
    <row r="89" spans="5:12" x14ac:dyDescent="0.25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3"/>
        <v/>
      </c>
      <c r="L89" t="str">
        <f>IF(D89="","",IFERROR(INDEX('Loot History'!$I:$I,MATCH(D89,'Loot History'!$A:$A,0)),""))</f>
        <v/>
      </c>
    </row>
    <row r="90" spans="5:12" x14ac:dyDescent="0.25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3"/>
        <v/>
      </c>
      <c r="L90" t="str">
        <f>IF(D90="","",IFERROR(INDEX('Loot History'!$I:$I,MATCH(D90,'Loot History'!$A:$A,0)),""))</f>
        <v/>
      </c>
    </row>
    <row r="91" spans="5:12" x14ac:dyDescent="0.25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3"/>
        <v/>
      </c>
      <c r="L91" t="str">
        <f>IF(D91="","",IFERROR(INDEX('Loot History'!$I:$I,MATCH(D91,'Loot History'!$A:$A,0)),""))</f>
        <v/>
      </c>
    </row>
    <row r="92" spans="5:12" x14ac:dyDescent="0.25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3"/>
        <v/>
      </c>
      <c r="L92" t="str">
        <f>IF(D92="","",IFERROR(INDEX('Loot History'!$I:$I,MATCH(D92,'Loot History'!$A:$A,0)),""))</f>
        <v/>
      </c>
    </row>
    <row r="93" spans="5:12" x14ac:dyDescent="0.25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3"/>
        <v/>
      </c>
      <c r="L93" t="str">
        <f>IF(D93="","",IFERROR(INDEX('Loot History'!$I:$I,MATCH(D93,'Loot History'!$A:$A,0)),""))</f>
        <v/>
      </c>
    </row>
    <row r="94" spans="5:12" x14ac:dyDescent="0.25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3"/>
        <v/>
      </c>
      <c r="L94" t="str">
        <f>IF(D94="","",IFERROR(INDEX('Loot History'!$I:$I,MATCH(D94,'Loot History'!$A:$A,0)),""))</f>
        <v/>
      </c>
    </row>
    <row r="95" spans="5:12" x14ac:dyDescent="0.25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3"/>
        <v/>
      </c>
      <c r="L95" t="str">
        <f>IF(D95="","",IFERROR(INDEX('Loot History'!$I:$I,MATCH(D95,'Loot History'!$A:$A,0)),""))</f>
        <v/>
      </c>
    </row>
    <row r="96" spans="5:12" x14ac:dyDescent="0.25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3"/>
        <v/>
      </c>
      <c r="L96" t="str">
        <f>IF(D96="","",IFERROR(INDEX('Loot History'!$I:$I,MATCH(D96,'Loot History'!$A:$A,0)),""))</f>
        <v/>
      </c>
    </row>
    <row r="97" spans="5:12" x14ac:dyDescent="0.25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3"/>
        <v/>
      </c>
      <c r="L97" t="str">
        <f>IF(D97="","",IFERROR(INDEX('Loot History'!$I:$I,MATCH(D97,'Loot History'!$A:$A,0)),""))</f>
        <v/>
      </c>
    </row>
    <row r="98" spans="5:12" x14ac:dyDescent="0.25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3"/>
        <v/>
      </c>
      <c r="L98" t="str">
        <f>IF(D98="","",IFERROR(INDEX('Loot History'!$I:$I,MATCH(D98,'Loot History'!$A:$A,0)),""))</f>
        <v/>
      </c>
    </row>
    <row r="99" spans="5:12" x14ac:dyDescent="0.25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3"/>
        <v/>
      </c>
      <c r="L99" t="str">
        <f>IF(D99="","",IFERROR(INDEX('Loot History'!$I:$I,MATCH(D99,'Loot History'!$A:$A,0)),""))</f>
        <v/>
      </c>
    </row>
    <row r="100" spans="5:12" x14ac:dyDescent="0.25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3"/>
        <v/>
      </c>
      <c r="L100" t="str">
        <f>IF(D100="","",IFERROR(INDEX('Loot History'!$I:$I,MATCH(D100,'Loot History'!$A:$A,0)),""))</f>
        <v/>
      </c>
    </row>
    <row r="101" spans="5:12" x14ac:dyDescent="0.25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3"/>
        <v/>
      </c>
      <c r="L101" t="str">
        <f>IF(D101="","",IFERROR(INDEX('Loot History'!$I:$I,MATCH(D101,'Loot History'!$A:$A,0)),""))</f>
        <v/>
      </c>
    </row>
    <row r="102" spans="5:12" x14ac:dyDescent="0.25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3"/>
        <v/>
      </c>
      <c r="L102" t="str">
        <f>IF(D102="","",IFERROR(INDEX('Loot History'!$I:$I,MATCH(D102,'Loot History'!$A:$A,0)),""))</f>
        <v/>
      </c>
    </row>
    <row r="103" spans="5:12" x14ac:dyDescent="0.25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3"/>
        <v/>
      </c>
      <c r="L103" t="str">
        <f>IF(D103="","",IFERROR(INDEX('Loot History'!$I:$I,MATCH(D103,'Loot History'!$A:$A,0)),""))</f>
        <v/>
      </c>
    </row>
    <row r="104" spans="5:12" x14ac:dyDescent="0.25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3"/>
        <v/>
      </c>
      <c r="L104" t="str">
        <f>IF(D104="","",IFERROR(INDEX('Loot History'!$I:$I,MATCH(D104,'Loot History'!$A:$A,0)),""))</f>
        <v/>
      </c>
    </row>
    <row r="105" spans="5:12" x14ac:dyDescent="0.25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3"/>
        <v/>
      </c>
      <c r="L105" t="str">
        <f>IF(D105="","",IFERROR(INDEX('Loot History'!$I:$I,MATCH(D105,'Loot History'!$A:$A,0)),""))</f>
        <v/>
      </c>
    </row>
    <row r="106" spans="5:12" x14ac:dyDescent="0.25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3"/>
        <v/>
      </c>
      <c r="L106" t="str">
        <f>IF(D106="","",IFERROR(INDEX('Loot History'!$I:$I,MATCH(D106,'Loot History'!$A:$A,0)),""))</f>
        <v/>
      </c>
    </row>
    <row r="107" spans="5:12" x14ac:dyDescent="0.25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3"/>
        <v/>
      </c>
      <c r="L107" t="str">
        <f>IF(D107="","",IFERROR(INDEX('Loot History'!$I:$I,MATCH(D107,'Loot History'!$A:$A,0)),""))</f>
        <v/>
      </c>
    </row>
    <row r="108" spans="5:12" x14ac:dyDescent="0.25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3"/>
        <v/>
      </c>
      <c r="L108" t="str">
        <f>IF(D108="","",IFERROR(INDEX('Loot History'!$I:$I,MATCH(D108,'Loot History'!$A:$A,0)),""))</f>
        <v/>
      </c>
    </row>
    <row r="109" spans="5:12" x14ac:dyDescent="0.25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4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5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4"/>
        <v/>
      </c>
      <c r="L110" t="str">
        <f>IF(D110="","",IFERROR(INDEX('Loot History'!$I:$I,MATCH(D110,'Loot History'!$A:$A,0)),""))</f>
        <v/>
      </c>
    </row>
    <row r="111" spans="5:12" x14ac:dyDescent="0.25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4"/>
        <v/>
      </c>
      <c r="L111" t="str">
        <f>IF(D111="","",IFERROR(INDEX('Loot History'!$I:$I,MATCH(D111,'Loot History'!$A:$A,0)),""))</f>
        <v/>
      </c>
    </row>
    <row r="112" spans="5:12" x14ac:dyDescent="0.25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4"/>
        <v/>
      </c>
      <c r="L112" t="str">
        <f>IF(D112="","",IFERROR(INDEX('Loot History'!$I:$I,MATCH(D112,'Loot History'!$A:$A,0)),""))</f>
        <v/>
      </c>
    </row>
    <row r="113" spans="5:12" x14ac:dyDescent="0.25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4"/>
        <v/>
      </c>
      <c r="L113" t="str">
        <f>IF(D113="","",IFERROR(INDEX('Loot History'!$I:$I,MATCH(D113,'Loot History'!$A:$A,0)),""))</f>
        <v/>
      </c>
    </row>
    <row r="114" spans="5:12" x14ac:dyDescent="0.25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4"/>
        <v/>
      </c>
      <c r="L114" t="str">
        <f>IF(D114="","",IFERROR(INDEX('Loot History'!$I:$I,MATCH(D114,'Loot History'!$A:$A,0)),""))</f>
        <v/>
      </c>
    </row>
    <row r="115" spans="5:12" x14ac:dyDescent="0.25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4"/>
        <v/>
      </c>
      <c r="L115" t="str">
        <f>IF(D115="","",IFERROR(INDEX('Loot History'!$I:$I,MATCH(D115,'Loot History'!$A:$A,0)),""))</f>
        <v/>
      </c>
    </row>
    <row r="116" spans="5:12" x14ac:dyDescent="0.25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4"/>
        <v/>
      </c>
      <c r="L116" t="str">
        <f>IF(D116="","",IFERROR(INDEX('Loot History'!$I:$I,MATCH(D116,'Loot History'!$A:$A,0)),""))</f>
        <v/>
      </c>
    </row>
    <row r="117" spans="5:12" x14ac:dyDescent="0.25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4"/>
        <v/>
      </c>
      <c r="L117" t="str">
        <f>IF(D117="","",IFERROR(INDEX('Loot History'!$I:$I,MATCH(D117,'Loot History'!$A:$A,0)),""))</f>
        <v/>
      </c>
    </row>
    <row r="118" spans="5:12" x14ac:dyDescent="0.25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4"/>
        <v/>
      </c>
      <c r="L118" t="str">
        <f>IF(D118="","",IFERROR(INDEX('Loot History'!$I:$I,MATCH(D118,'Loot History'!$A:$A,0)),""))</f>
        <v/>
      </c>
    </row>
    <row r="119" spans="5:12" x14ac:dyDescent="0.25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4"/>
        <v/>
      </c>
      <c r="L119" t="str">
        <f>IF(D119="","",IFERROR(INDEX('Loot History'!$I:$I,MATCH(D119,'Loot History'!$A:$A,0)),""))</f>
        <v/>
      </c>
    </row>
    <row r="120" spans="5:12" x14ac:dyDescent="0.25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4"/>
        <v/>
      </c>
      <c r="L120" t="str">
        <f>IF(D120="","",IFERROR(INDEX('Loot History'!$I:$I,MATCH(D120,'Loot History'!$A:$A,0)),""))</f>
        <v/>
      </c>
    </row>
    <row r="121" spans="5:12" x14ac:dyDescent="0.25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4"/>
        <v/>
      </c>
      <c r="L121" t="str">
        <f>IF(D121="","",IFERROR(INDEX('Loot History'!$I:$I,MATCH(D121,'Loot History'!$A:$A,0)),""))</f>
        <v/>
      </c>
    </row>
    <row r="122" spans="5:12" x14ac:dyDescent="0.25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4"/>
        <v/>
      </c>
      <c r="L122" t="str">
        <f>IF(D122="","",IFERROR(INDEX('Loot History'!$I:$I,MATCH(D122,'Loot History'!$A:$A,0)),""))</f>
        <v/>
      </c>
    </row>
    <row r="123" spans="5:12" x14ac:dyDescent="0.25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4"/>
        <v/>
      </c>
      <c r="L123" t="str">
        <f>IF(D123="","",IFERROR(INDEX('Loot History'!$I:$I,MATCH(D123,'Loot History'!$A:$A,0)),""))</f>
        <v/>
      </c>
    </row>
    <row r="124" spans="5:12" x14ac:dyDescent="0.25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4"/>
        <v/>
      </c>
      <c r="L124" t="str">
        <f>IF(D124="","",IFERROR(INDEX('Loot History'!$I:$I,MATCH(D124,'Loot History'!$A:$A,0)),""))</f>
        <v/>
      </c>
    </row>
    <row r="125" spans="5:12" x14ac:dyDescent="0.25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4"/>
        <v/>
      </c>
      <c r="L125" t="str">
        <f>IF(D125="","",IFERROR(INDEX('Loot History'!$I:$I,MATCH(D125,'Loot History'!$A:$A,0)),""))</f>
        <v/>
      </c>
    </row>
    <row r="126" spans="5:12" x14ac:dyDescent="0.25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4"/>
        <v/>
      </c>
      <c r="L126" t="str">
        <f>IF(D126="","",IFERROR(INDEX('Loot History'!$I:$I,MATCH(D126,'Loot History'!$A:$A,0)),""))</f>
        <v/>
      </c>
    </row>
    <row r="127" spans="5:12" x14ac:dyDescent="0.25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4"/>
        <v/>
      </c>
      <c r="L127" t="str">
        <f>IF(D127="","",IFERROR(INDEX('Loot History'!$I:$I,MATCH(D127,'Loot History'!$A:$A,0)),""))</f>
        <v/>
      </c>
    </row>
    <row r="128" spans="5:12" x14ac:dyDescent="0.25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4"/>
        <v/>
      </c>
      <c r="L128" t="str">
        <f>IF(D128="","",IFERROR(INDEX('Loot History'!$I:$I,MATCH(D128,'Loot History'!$A:$A,0)),""))</f>
        <v/>
      </c>
    </row>
    <row r="129" spans="5:12" x14ac:dyDescent="0.25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4"/>
        <v/>
      </c>
      <c r="L129" t="str">
        <f>IF(D129="","",IFERROR(INDEX('Loot History'!$I:$I,MATCH(D129,'Loot History'!$A:$A,0)),""))</f>
        <v/>
      </c>
    </row>
    <row r="130" spans="5:12" x14ac:dyDescent="0.25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4"/>
        <v/>
      </c>
      <c r="L130" t="str">
        <f>IF(D130="","",IFERROR(INDEX('Loot History'!$I:$I,MATCH(D130,'Loot History'!$A:$A,0)),""))</f>
        <v/>
      </c>
    </row>
    <row r="131" spans="5:12" x14ac:dyDescent="0.25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4"/>
        <v/>
      </c>
      <c r="L131" t="str">
        <f>IF(D131="","",IFERROR(INDEX('Loot History'!$I:$I,MATCH(D131,'Loot History'!$A:$A,0)),""))</f>
        <v/>
      </c>
    </row>
    <row r="132" spans="5:12" x14ac:dyDescent="0.25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4"/>
        <v/>
      </c>
      <c r="L132" t="str">
        <f>IF(D132="","",IFERROR(INDEX('Loot History'!$I:$I,MATCH(D132,'Loot History'!$A:$A,0)),""))</f>
        <v/>
      </c>
    </row>
    <row r="133" spans="5:12" x14ac:dyDescent="0.25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4"/>
        <v/>
      </c>
      <c r="L133" t="str">
        <f>IF(D133="","",IFERROR(INDEX('Loot History'!$I:$I,MATCH(D133,'Loot History'!$A:$A,0)),""))</f>
        <v/>
      </c>
    </row>
    <row r="134" spans="5:12" x14ac:dyDescent="0.25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4"/>
        <v/>
      </c>
      <c r="L134" t="str">
        <f>IF(D134="","",IFERROR(INDEX('Loot History'!$I:$I,MATCH(D134,'Loot History'!$A:$A,0)),""))</f>
        <v/>
      </c>
    </row>
    <row r="135" spans="5:12" x14ac:dyDescent="0.25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4"/>
        <v/>
      </c>
      <c r="L135" t="str">
        <f>IF(D135="","",IFERROR(INDEX('Loot History'!$I:$I,MATCH(D135,'Loot History'!$A:$A,0)),""))</f>
        <v/>
      </c>
    </row>
    <row r="136" spans="5:12" x14ac:dyDescent="0.25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4"/>
        <v/>
      </c>
      <c r="L136" t="str">
        <f>IF(D136="","",IFERROR(INDEX('Loot History'!$I:$I,MATCH(D136,'Loot History'!$A:$A,0)),""))</f>
        <v/>
      </c>
    </row>
    <row r="137" spans="5:12" x14ac:dyDescent="0.25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4"/>
        <v/>
      </c>
      <c r="L137" t="str">
        <f>IF(D137="","",IFERROR(INDEX('Loot History'!$I:$I,MATCH(D137,'Loot History'!$A:$A,0)),""))</f>
        <v/>
      </c>
    </row>
    <row r="138" spans="5:12" x14ac:dyDescent="0.25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4"/>
        <v/>
      </c>
      <c r="L138" t="str">
        <f>IF(D138="","",IFERROR(INDEX('Loot History'!$I:$I,MATCH(D138,'Loot History'!$A:$A,0)),""))</f>
        <v/>
      </c>
    </row>
    <row r="139" spans="5:12" x14ac:dyDescent="0.25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4"/>
        <v/>
      </c>
      <c r="L139" t="str">
        <f>IF(D139="","",IFERROR(INDEX('Loot History'!$I:$I,MATCH(D139,'Loot History'!$A:$A,0)),""))</f>
        <v/>
      </c>
    </row>
    <row r="140" spans="5:12" x14ac:dyDescent="0.25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4"/>
        <v/>
      </c>
      <c r="L140" t="str">
        <f>IF(D140="","",IFERROR(INDEX('Loot History'!$I:$I,MATCH(D140,'Loot History'!$A:$A,0)),""))</f>
        <v/>
      </c>
    </row>
    <row r="141" spans="5:12" x14ac:dyDescent="0.25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5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5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5"/>
        <v/>
      </c>
      <c r="L142" t="str">
        <f>IF(D142="","",IFERROR(INDEX('Loot History'!$I:$I,MATCH(D142,'Loot History'!$A:$A,0)),""))</f>
        <v/>
      </c>
    </row>
    <row r="143" spans="5:12" x14ac:dyDescent="0.25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5"/>
        <v/>
      </c>
      <c r="L143" t="str">
        <f>IF(D143="","",IFERROR(INDEX('Loot History'!$I:$I,MATCH(D143,'Loot History'!$A:$A,0)),""))</f>
        <v/>
      </c>
    </row>
    <row r="144" spans="5:12" x14ac:dyDescent="0.25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5"/>
        <v/>
      </c>
      <c r="L144" t="str">
        <f>IF(D144="","",IFERROR(INDEX('Loot History'!$I:$I,MATCH(D144,'Loot History'!$A:$A,0)),""))</f>
        <v/>
      </c>
    </row>
    <row r="145" spans="5:12" x14ac:dyDescent="0.25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5"/>
        <v/>
      </c>
      <c r="L145" t="str">
        <f>IF(D145="","",IFERROR(INDEX('Loot History'!$I:$I,MATCH(D145,'Loot History'!$A:$A,0)),""))</f>
        <v/>
      </c>
    </row>
    <row r="146" spans="5:12" x14ac:dyDescent="0.25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5"/>
        <v/>
      </c>
      <c r="L146" t="str">
        <f>IF(D146="","",IFERROR(INDEX('Loot History'!$I:$I,MATCH(D146,'Loot History'!$A:$A,0)),""))</f>
        <v/>
      </c>
    </row>
    <row r="147" spans="5:12" x14ac:dyDescent="0.25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5"/>
        <v/>
      </c>
      <c r="L147" t="str">
        <f>IF(D147="","",IFERROR(INDEX('Loot History'!$I:$I,MATCH(D147,'Loot History'!$A:$A,0)),""))</f>
        <v/>
      </c>
    </row>
    <row r="148" spans="5:12" x14ac:dyDescent="0.25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5"/>
        <v/>
      </c>
      <c r="L148" t="str">
        <f>IF(D148="","",IFERROR(INDEX('Loot History'!$I:$I,MATCH(D148,'Loot History'!$A:$A,0)),""))</f>
        <v/>
      </c>
    </row>
    <row r="149" spans="5:12" x14ac:dyDescent="0.25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5"/>
        <v/>
      </c>
      <c r="L149" t="str">
        <f>IF(D149="","",IFERROR(INDEX('Loot History'!$I:$I,MATCH(D149,'Loot History'!$A:$A,0)),""))</f>
        <v/>
      </c>
    </row>
    <row r="150" spans="5:12" x14ac:dyDescent="0.25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5"/>
        <v/>
      </c>
      <c r="L150" t="str">
        <f>IF(D150="","",IFERROR(INDEX('Loot History'!$I:$I,MATCH(D150,'Loot History'!$A:$A,0)),""))</f>
        <v/>
      </c>
    </row>
    <row r="151" spans="5:12" x14ac:dyDescent="0.25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5"/>
        <v/>
      </c>
      <c r="L151" t="str">
        <f>IF(D151="","",IFERROR(INDEX('Loot History'!$I:$I,MATCH(D151,'Loot History'!$A:$A,0)),""))</f>
        <v/>
      </c>
    </row>
    <row r="152" spans="5:12" x14ac:dyDescent="0.25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5"/>
        <v/>
      </c>
      <c r="L152" t="str">
        <f>IF(D152="","",IFERROR(INDEX('Loot History'!$I:$I,MATCH(D152,'Loot History'!$A:$A,0)),""))</f>
        <v/>
      </c>
    </row>
    <row r="153" spans="5:12" x14ac:dyDescent="0.25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5"/>
        <v/>
      </c>
      <c r="L153" t="str">
        <f>IF(D153="","",IFERROR(INDEX('Loot History'!$I:$I,MATCH(D153,'Loot History'!$A:$A,0)),""))</f>
        <v/>
      </c>
    </row>
    <row r="154" spans="5:12" x14ac:dyDescent="0.25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5"/>
        <v/>
      </c>
      <c r="L154" t="str">
        <f>IF(D154="","",IFERROR(INDEX('Loot History'!$I:$I,MATCH(D154,'Loot History'!$A:$A,0)),""))</f>
        <v/>
      </c>
    </row>
    <row r="155" spans="5:12" x14ac:dyDescent="0.25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5"/>
        <v/>
      </c>
      <c r="L155" t="str">
        <f>IF(D155="","",IFERROR(INDEX('Loot History'!$I:$I,MATCH(D155,'Loot History'!$A:$A,0)),""))</f>
        <v/>
      </c>
    </row>
    <row r="156" spans="5:12" x14ac:dyDescent="0.25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5"/>
        <v/>
      </c>
      <c r="L156" t="str">
        <f>IF(D156="","",IFERROR(INDEX('Loot History'!$I:$I,MATCH(D156,'Loot History'!$A:$A,0)),""))</f>
        <v/>
      </c>
    </row>
    <row r="157" spans="5:12" x14ac:dyDescent="0.25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5"/>
        <v/>
      </c>
      <c r="L157" t="str">
        <f>IF(D157="","",IFERROR(INDEX('Loot History'!$I:$I,MATCH(D157,'Loot History'!$A:$A,0)),""))</f>
        <v/>
      </c>
    </row>
    <row r="158" spans="5:12" x14ac:dyDescent="0.25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5"/>
        <v/>
      </c>
      <c r="L158" t="str">
        <f>IF(D158="","",IFERROR(INDEX('Loot History'!$I:$I,MATCH(D158,'Loot History'!$A:$A,0)),""))</f>
        <v/>
      </c>
    </row>
    <row r="159" spans="5:12" x14ac:dyDescent="0.25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5"/>
        <v/>
      </c>
      <c r="L159" t="str">
        <f>IF(D159="","",IFERROR(INDEX('Loot History'!$I:$I,MATCH(D159,'Loot History'!$A:$A,0)),""))</f>
        <v/>
      </c>
    </row>
    <row r="160" spans="5:12" x14ac:dyDescent="0.25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5"/>
        <v/>
      </c>
      <c r="L160" t="str">
        <f>IF(D160="","",IFERROR(INDEX('Loot History'!$I:$I,MATCH(D160,'Loot History'!$A:$A,0)),""))</f>
        <v/>
      </c>
    </row>
    <row r="161" spans="5:12" x14ac:dyDescent="0.25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5"/>
        <v/>
      </c>
      <c r="L161" t="str">
        <f>IF(D161="","",IFERROR(INDEX('Loot History'!$I:$I,MATCH(D161,'Loot History'!$A:$A,0)),""))</f>
        <v/>
      </c>
    </row>
    <row r="162" spans="5:12" x14ac:dyDescent="0.25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5"/>
        <v/>
      </c>
      <c r="L162" t="str">
        <f>IF(D162="","",IFERROR(INDEX('Loot History'!$I:$I,MATCH(D162,'Loot History'!$A:$A,0)),""))</f>
        <v/>
      </c>
    </row>
    <row r="163" spans="5:12" x14ac:dyDescent="0.25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5"/>
        <v/>
      </c>
      <c r="L163" t="str">
        <f>IF(D163="","",IFERROR(INDEX('Loot History'!$I:$I,MATCH(D163,'Loot History'!$A:$A,0)),""))</f>
        <v/>
      </c>
    </row>
    <row r="164" spans="5:12" x14ac:dyDescent="0.25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5"/>
        <v/>
      </c>
      <c r="L164" t="str">
        <f>IF(D164="","",IFERROR(INDEX('Loot History'!$I:$I,MATCH(D164,'Loot History'!$A:$A,0)),""))</f>
        <v/>
      </c>
    </row>
    <row r="165" spans="5:12" x14ac:dyDescent="0.25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5"/>
        <v/>
      </c>
      <c r="L165" t="str">
        <f>IF(D165="","",IFERROR(INDEX('Loot History'!$I:$I,MATCH(D165,'Loot History'!$A:$A,0)),""))</f>
        <v/>
      </c>
    </row>
    <row r="166" spans="5:12" x14ac:dyDescent="0.25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5"/>
        <v/>
      </c>
      <c r="L166" t="str">
        <f>IF(D166="","",IFERROR(INDEX('Loot History'!$I:$I,MATCH(D166,'Loot History'!$A:$A,0)),""))</f>
        <v/>
      </c>
    </row>
    <row r="167" spans="5:12" x14ac:dyDescent="0.25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5"/>
        <v/>
      </c>
      <c r="L167" t="str">
        <f>IF(D167="","",IFERROR(INDEX('Loot History'!$I:$I,MATCH(D167,'Loot History'!$A:$A,0)),""))</f>
        <v/>
      </c>
    </row>
    <row r="168" spans="5:12" x14ac:dyDescent="0.25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5"/>
        <v/>
      </c>
      <c r="L168" t="str">
        <f>IF(D168="","",IFERROR(INDEX('Loot History'!$I:$I,MATCH(D168,'Loot History'!$A:$A,0)),""))</f>
        <v/>
      </c>
    </row>
    <row r="169" spans="5:12" x14ac:dyDescent="0.25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5"/>
        <v/>
      </c>
      <c r="L169" t="str">
        <f>IF(D169="","",IFERROR(INDEX('Loot History'!$I:$I,MATCH(D169,'Loot History'!$A:$A,0)),""))</f>
        <v/>
      </c>
    </row>
    <row r="170" spans="5:12" x14ac:dyDescent="0.25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5"/>
        <v/>
      </c>
      <c r="L170" t="str">
        <f>IF(D170="","",IFERROR(INDEX('Loot History'!$I:$I,MATCH(D170,'Loot History'!$A:$A,0)),""))</f>
        <v/>
      </c>
    </row>
    <row r="171" spans="5:12" x14ac:dyDescent="0.25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5"/>
        <v/>
      </c>
      <c r="L171" t="str">
        <f>IF(D171="","",IFERROR(INDEX('Loot History'!$I:$I,MATCH(D171,'Loot History'!$A:$A,0)),""))</f>
        <v/>
      </c>
    </row>
    <row r="172" spans="5:12" x14ac:dyDescent="0.25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5"/>
        <v/>
      </c>
      <c r="L172" t="str">
        <f>IF(D172="","",IFERROR(INDEX('Loot History'!$I:$I,MATCH(D172,'Loot History'!$A:$A,0)),""))</f>
        <v/>
      </c>
    </row>
    <row r="173" spans="5:12" x14ac:dyDescent="0.25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6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5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6"/>
        <v/>
      </c>
      <c r="L174" t="str">
        <f>IF(D174="","",IFERROR(INDEX('Loot History'!$I:$I,MATCH(D174,'Loot History'!$A:$A,0)),""))</f>
        <v/>
      </c>
    </row>
    <row r="175" spans="5:12" x14ac:dyDescent="0.25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6"/>
        <v/>
      </c>
      <c r="L175" t="str">
        <f>IF(D175="","",IFERROR(INDEX('Loot History'!$I:$I,MATCH(D175,'Loot History'!$A:$A,0)),""))</f>
        <v/>
      </c>
    </row>
    <row r="176" spans="5:12" x14ac:dyDescent="0.25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6"/>
        <v/>
      </c>
      <c r="L176" t="str">
        <f>IF(D176="","",IFERROR(INDEX('Loot History'!$I:$I,MATCH(D176,'Loot History'!$A:$A,0)),""))</f>
        <v/>
      </c>
    </row>
    <row r="177" spans="5:12" x14ac:dyDescent="0.25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6"/>
        <v/>
      </c>
      <c r="L177" t="str">
        <f>IF(D177="","",IFERROR(INDEX('Loot History'!$I:$I,MATCH(D177,'Loot History'!$A:$A,0)),""))</f>
        <v/>
      </c>
    </row>
    <row r="178" spans="5:12" x14ac:dyDescent="0.25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6"/>
        <v/>
      </c>
      <c r="L178" t="str">
        <f>IF(D178="","",IFERROR(INDEX('Loot History'!$I:$I,MATCH(D178,'Loot History'!$A:$A,0)),""))</f>
        <v/>
      </c>
    </row>
    <row r="179" spans="5:12" x14ac:dyDescent="0.25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6"/>
        <v/>
      </c>
      <c r="L179" t="str">
        <f>IF(D179="","",IFERROR(INDEX('Loot History'!$I:$I,MATCH(D179,'Loot History'!$A:$A,0)),""))</f>
        <v/>
      </c>
    </row>
    <row r="180" spans="5:12" x14ac:dyDescent="0.25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6"/>
        <v/>
      </c>
      <c r="L180" t="str">
        <f>IF(D180="","",IFERROR(INDEX('Loot History'!$I:$I,MATCH(D180,'Loot History'!$A:$A,0)),""))</f>
        <v/>
      </c>
    </row>
    <row r="181" spans="5:12" x14ac:dyDescent="0.25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6"/>
        <v/>
      </c>
      <c r="L181" t="str">
        <f>IF(D181="","",IFERROR(INDEX('Loot History'!$I:$I,MATCH(D181,'Loot History'!$A:$A,0)),""))</f>
        <v/>
      </c>
    </row>
    <row r="182" spans="5:12" x14ac:dyDescent="0.25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6"/>
        <v/>
      </c>
      <c r="L182" t="str">
        <f>IF(D182="","",IFERROR(INDEX('Loot History'!$I:$I,MATCH(D182,'Loot History'!$A:$A,0)),""))</f>
        <v/>
      </c>
    </row>
    <row r="183" spans="5:12" x14ac:dyDescent="0.25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6"/>
        <v/>
      </c>
      <c r="L183" t="str">
        <f>IF(D183="","",IFERROR(INDEX('Loot History'!$I:$I,MATCH(D183,'Loot History'!$A:$A,0)),""))</f>
        <v/>
      </c>
    </row>
    <row r="184" spans="5:12" x14ac:dyDescent="0.25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6"/>
        <v/>
      </c>
      <c r="L184" t="str">
        <f>IF(D184="","",IFERROR(INDEX('Loot History'!$I:$I,MATCH(D184,'Loot History'!$A:$A,0)),""))</f>
        <v/>
      </c>
    </row>
    <row r="185" spans="5:12" x14ac:dyDescent="0.25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6"/>
        <v/>
      </c>
      <c r="L185" t="str">
        <f>IF(D185="","",IFERROR(INDEX('Loot History'!$I:$I,MATCH(D185,'Loot History'!$A:$A,0)),""))</f>
        <v/>
      </c>
    </row>
    <row r="186" spans="5:12" x14ac:dyDescent="0.25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6"/>
        <v/>
      </c>
      <c r="L186" t="str">
        <f>IF(D186="","",IFERROR(INDEX('Loot History'!$I:$I,MATCH(D186,'Loot History'!$A:$A,0)),""))</f>
        <v/>
      </c>
    </row>
    <row r="187" spans="5:12" x14ac:dyDescent="0.25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6"/>
        <v/>
      </c>
      <c r="L187" t="str">
        <f>IF(D187="","",IFERROR(INDEX('Loot History'!$I:$I,MATCH(D187,'Loot History'!$A:$A,0)),""))</f>
        <v/>
      </c>
    </row>
    <row r="188" spans="5:12" x14ac:dyDescent="0.25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6"/>
        <v/>
      </c>
      <c r="L188" t="str">
        <f>IF(D188="","",IFERROR(INDEX('Loot History'!$I:$I,MATCH(D188,'Loot History'!$A:$A,0)),""))</f>
        <v/>
      </c>
    </row>
    <row r="189" spans="5:12" x14ac:dyDescent="0.25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6"/>
        <v/>
      </c>
      <c r="L189" t="str">
        <f>IF(D189="","",IFERROR(INDEX('Loot History'!$I:$I,MATCH(D189,'Loot History'!$A:$A,0)),""))</f>
        <v/>
      </c>
    </row>
    <row r="190" spans="5:12" x14ac:dyDescent="0.25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6"/>
        <v/>
      </c>
      <c r="L190" t="str">
        <f>IF(D190="","",IFERROR(INDEX('Loot History'!$I:$I,MATCH(D190,'Loot History'!$A:$A,0)),""))</f>
        <v/>
      </c>
    </row>
    <row r="191" spans="5:12" x14ac:dyDescent="0.25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6"/>
        <v/>
      </c>
      <c r="L191" t="str">
        <f>IF(D191="","",IFERROR(INDEX('Loot History'!$I:$I,MATCH(D191,'Loot History'!$A:$A,0)),""))</f>
        <v/>
      </c>
    </row>
    <row r="192" spans="5:12" x14ac:dyDescent="0.25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6"/>
        <v/>
      </c>
      <c r="L192" t="str">
        <f>IF(D192="","",IFERROR(INDEX('Loot History'!$I:$I,MATCH(D192,'Loot History'!$A:$A,0)),""))</f>
        <v/>
      </c>
    </row>
    <row r="193" spans="5:37" x14ac:dyDescent="0.25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6"/>
        <v/>
      </c>
      <c r="L193" t="str">
        <f>IF(D193="","",IFERROR(INDEX('Loot History'!$I:$I,MATCH(D193,'Loot History'!$A:$A,0)),""))</f>
        <v/>
      </c>
    </row>
    <row r="194" spans="5:37" x14ac:dyDescent="0.25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6"/>
        <v/>
      </c>
      <c r="L194" t="str">
        <f>IF(D194="","",IFERROR(INDEX('Loot History'!$I:$I,MATCH(D194,'Loot History'!$A:$A,0)),""))</f>
        <v/>
      </c>
    </row>
    <row r="195" spans="5:37" x14ac:dyDescent="0.25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6"/>
        <v/>
      </c>
      <c r="L195" t="str">
        <f>IF(D195="","",IFERROR(INDEX('Loot History'!$I:$I,MATCH(D195,'Loot History'!$A:$A,0)),""))</f>
        <v/>
      </c>
    </row>
    <row r="196" spans="5:37" x14ac:dyDescent="0.25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6"/>
        <v/>
      </c>
      <c r="L196" t="str">
        <f>IF(D196="","",IFERROR(INDEX('Loot History'!$I:$I,MATCH(D196,'Loot History'!$A:$A,0)),""))</f>
        <v/>
      </c>
    </row>
    <row r="197" spans="5:37" x14ac:dyDescent="0.25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6"/>
        <v/>
      </c>
      <c r="L197" t="str">
        <f>IF(D197="","",IFERROR(INDEX('Loot History'!$I:$I,MATCH(D197,'Loot History'!$A:$A,0)),""))</f>
        <v/>
      </c>
    </row>
    <row r="198" spans="5:37" x14ac:dyDescent="0.25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6"/>
        <v/>
      </c>
      <c r="L198" t="str">
        <f>IF(D198="","",IFERROR(INDEX('Loot History'!$I:$I,MATCH(D198,'Loot History'!$A:$A,0)),""))</f>
        <v/>
      </c>
    </row>
    <row r="199" spans="5:37" x14ac:dyDescent="0.25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6"/>
        <v/>
      </c>
      <c r="L199" t="str">
        <f>IF(D199="","",IFERROR(INDEX('Loot History'!$I:$I,MATCH(D199,'Loot History'!$A:$A,0)),""))</f>
        <v/>
      </c>
    </row>
    <row r="200" spans="5:37" x14ac:dyDescent="0.25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6"/>
        <v/>
      </c>
      <c r="L200" t="str">
        <f>IF(D200="","",IFERROR(INDEX('Loot History'!$I:$I,MATCH(D200,'Loot History'!$A:$A,0)),""))</f>
        <v/>
      </c>
    </row>
    <row r="201" spans="5:37" x14ac:dyDescent="0.25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6"/>
        <v/>
      </c>
      <c r="L201" t="str">
        <f>IF(D201="","",IFERROR(INDEX('Loot History'!$I:$I,MATCH(D201,'Loot History'!$A:$A,0)),""))</f>
        <v/>
      </c>
    </row>
    <row r="202" spans="5:37" x14ac:dyDescent="0.25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6"/>
        <v/>
      </c>
      <c r="L202" t="str">
        <f>IF(D202="","",IFERROR(INDEX('Loot History'!$I:$I,MATCH(D202,'Loot History'!$A:$A,0)),""))</f>
        <v/>
      </c>
    </row>
    <row r="204" spans="5:37" x14ac:dyDescent="0.25">
      <c r="AA204" s="10" t="s">
        <v>161</v>
      </c>
      <c r="AB204" s="12">
        <f t="shared" ref="AB204:AH204" si="7">SUM(E3:E202)</f>
        <v>126</v>
      </c>
      <c r="AC204" s="12">
        <f t="shared" si="7"/>
        <v>68</v>
      </c>
      <c r="AD204" s="12">
        <f t="shared" si="7"/>
        <v>15</v>
      </c>
      <c r="AE204" s="12">
        <f t="shared" si="7"/>
        <v>20</v>
      </c>
      <c r="AF204" s="12">
        <f t="shared" si="7"/>
        <v>14</v>
      </c>
      <c r="AG204" s="12">
        <f t="shared" si="7"/>
        <v>3</v>
      </c>
      <c r="AH204" s="12">
        <f t="shared" si="7"/>
        <v>6</v>
      </c>
      <c r="AI204" s="12" t="e">
        <f>SUM(#REF!)</f>
        <v>#REF!</v>
      </c>
      <c r="AJ204" s="10"/>
      <c r="AK204" s="12"/>
    </row>
    <row r="207" spans="5:37" x14ac:dyDescent="0.25">
      <c r="AD207" s="15" t="s">
        <v>153</v>
      </c>
      <c r="AE207" s="15"/>
      <c r="AF207" s="15"/>
      <c r="AH207" s="15" t="s">
        <v>157</v>
      </c>
      <c r="AI207" s="15"/>
      <c r="AK207" s="15"/>
    </row>
    <row r="208" spans="5:37" x14ac:dyDescent="0.25">
      <c r="AD208" s="6" t="s">
        <v>154</v>
      </c>
      <c r="AE208" s="6" t="s">
        <v>152</v>
      </c>
      <c r="AF208" s="6" t="s">
        <v>155</v>
      </c>
      <c r="AH208" s="6" t="s">
        <v>149</v>
      </c>
      <c r="AI208" s="6" t="s">
        <v>152</v>
      </c>
      <c r="AK208" s="6"/>
    </row>
    <row r="209" spans="30:35" x14ac:dyDescent="0.25">
      <c r="AD209" t="s">
        <v>22</v>
      </c>
      <c r="AE209" s="11">
        <f>COUNTIF('Loot History'!$G:$G,"BiS")</f>
        <v>68</v>
      </c>
      <c r="AF209" s="16">
        <f>IFERROR(AE209/COUNTA('Loot History'!$D$2:$D$1000),0)</f>
        <v>0.53968253968253965</v>
      </c>
      <c r="AH209" t="str" cm="1">
        <f t="array" ref="AH209:AH217">IFERROR(_xlfn._xlws.SORT(_xlfn.UNIQUE(_xlfn._xlws.FILTER('Loot History'!I2:I1000,'Loot History'!I2:I1000&lt;&gt;""))),"")</f>
        <v>DRUID</v>
      </c>
      <c r="AI209" s="11">
        <f>IF(AH209="","",COUNTIF('Loot History'!$I:$I,AH209))</f>
        <v>21</v>
      </c>
    </row>
    <row r="210" spans="30:35" x14ac:dyDescent="0.25">
      <c r="AD210" t="s">
        <v>54</v>
      </c>
      <c r="AE210" s="11">
        <f>COUNTIF('Loot History'!$G:$G,"2nd BiS")</f>
        <v>15</v>
      </c>
      <c r="AF210" s="16">
        <f>IFERROR(AE210/COUNTA('Loot History'!$D$2:$D$1000),0)</f>
        <v>0.11904761904761904</v>
      </c>
      <c r="AH210" t="str">
        <v>HUNTER</v>
      </c>
      <c r="AI210" s="11">
        <f>IF(AH210="","",COUNTIF('Loot History'!$I:$I,AH210))</f>
        <v>12</v>
      </c>
    </row>
    <row r="211" spans="30:35" x14ac:dyDescent="0.25">
      <c r="AD211" t="s">
        <v>34</v>
      </c>
      <c r="AE211" s="11">
        <f>COUNTIF('Loot History'!$G:$G,"Upgrade")</f>
        <v>20</v>
      </c>
      <c r="AF211" s="16">
        <f>IFERROR(AE211/COUNTA('Loot History'!$D$2:$D$1000),0)</f>
        <v>0.15873015873015872</v>
      </c>
      <c r="AH211" t="str">
        <v>MAGE</v>
      </c>
      <c r="AI211" s="11">
        <f>IF(AH211="","",COUNTIF('Loot History'!$I:$I,AH211))</f>
        <v>14</v>
      </c>
    </row>
    <row r="212" spans="30:35" x14ac:dyDescent="0.25">
      <c r="AD212" t="s">
        <v>44</v>
      </c>
      <c r="AE212" s="11">
        <f>COUNTIF('Loot History'!$G:$G,"Offspecc")</f>
        <v>14</v>
      </c>
      <c r="AF212" s="16">
        <f>IFERROR(AE212/COUNTA('Loot History'!$D$2:$D$1000),0)</f>
        <v>0.1111111111111111</v>
      </c>
      <c r="AH212" t="str">
        <v>PALADIN</v>
      </c>
      <c r="AI212" s="11">
        <f>IF(AH212="","",COUNTIF('Loot History'!$I:$I,AH212))</f>
        <v>22</v>
      </c>
    </row>
    <row r="213" spans="30:35" x14ac:dyDescent="0.25">
      <c r="AD213" t="s">
        <v>120</v>
      </c>
      <c r="AE213" s="11">
        <f>COUNTIF('Loot History'!$G:$G,"Passen")</f>
        <v>3</v>
      </c>
      <c r="AF213" s="16">
        <f>IFERROR(AE213/COUNTA('Loot History'!$D$2:$D$1000),0)</f>
        <v>2.3809523809523808E-2</v>
      </c>
      <c r="AH213" t="str">
        <v>PRIEST</v>
      </c>
      <c r="AI213" s="11">
        <f>IF(AH213="","",COUNTIF('Loot History'!$I:$I,AH213))</f>
        <v>7</v>
      </c>
    </row>
    <row r="214" spans="30:35" x14ac:dyDescent="0.25">
      <c r="AD214" t="s">
        <v>156</v>
      </c>
      <c r="AE214" s="11">
        <f>COUNTIF('Loot History'!$G:$G,"Kandidat wählt die Antwort aus, bitte warten")</f>
        <v>1</v>
      </c>
      <c r="AF214" s="16">
        <f>IFERROR(AE214/COUNTA('Loot History'!$D$2:$D$1000),0)</f>
        <v>7.9365079365079361E-3</v>
      </c>
      <c r="AH214" t="str">
        <v>ROGUE</v>
      </c>
      <c r="AI214" s="11">
        <f>IF(AH214="","",COUNTIF('Loot History'!$I:$I,AH214))</f>
        <v>1</v>
      </c>
    </row>
    <row r="215" spans="30:35" x14ac:dyDescent="0.25">
      <c r="AH215" t="str">
        <v>SHAMAN</v>
      </c>
      <c r="AI215" s="11">
        <f>IF(AH215="","",COUNTIF('Loot History'!$I:$I,AH215))</f>
        <v>16</v>
      </c>
    </row>
    <row r="216" spans="30:35" x14ac:dyDescent="0.25">
      <c r="AH216" t="str">
        <v>WARLOCK</v>
      </c>
      <c r="AI216" s="11">
        <f>IF(AH216="","",COUNTIF('Loot History'!$I:$I,AH216))</f>
        <v>8</v>
      </c>
    </row>
    <row r="217" spans="30:35" x14ac:dyDescent="0.25">
      <c r="AH217" t="str">
        <v>WARRIOR</v>
      </c>
      <c r="AI217" s="11">
        <f>IF(AH217="","",COUNTIF('Loot History'!$I:$I,AH217))</f>
        <v>25</v>
      </c>
    </row>
    <row r="261" spans="4:6" x14ac:dyDescent="0.25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5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5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5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5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5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5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5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5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5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5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5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5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5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5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5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5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5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5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5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5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5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5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Loot History</vt:lpstr>
      <vt:lpstr>Player Lookup</vt:lpstr>
      <vt:lpstr>Dashboard</vt:lpstr>
      <vt:lpstr>chartRespCounts</vt:lpstr>
      <vt:lpstr>chartRespLabels</vt:lpstr>
      <vt:lpstr>'Loot History'!message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Pfister</dc:creator>
  <cp:lastModifiedBy>Christopher Pfister</cp:lastModifiedBy>
  <dcterms:created xsi:type="dcterms:W3CDTF">2026-05-26T16:11:16Z</dcterms:created>
  <dcterms:modified xsi:type="dcterms:W3CDTF">2026-06-10T06:14:20Z</dcterms:modified>
</cp:coreProperties>
</file>