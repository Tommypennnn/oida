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/Downloads/"/>
    </mc:Choice>
  </mc:AlternateContent>
  <xr:revisionPtr revIDLastSave="0" documentId="8_{3EE2FA6A-7BB5-F44A-874E-469EC2789572}" xr6:coauthVersionLast="47" xr6:coauthVersionMax="47" xr10:uidLastSave="{00000000-0000-0000-0000-000000000000}"/>
  <bookViews>
    <workbookView xWindow="10760" yWindow="1580" windowWidth="46560" windowHeight="26420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L127" i="1"/>
  <c r="D127" i="1"/>
  <c r="D126" i="1"/>
  <c r="L125" i="1"/>
  <c r="D125" i="1"/>
  <c r="M124" i="1"/>
  <c r="L124" i="1"/>
  <c r="D124" i="1"/>
  <c r="L123" i="1"/>
  <c r="D123" i="1"/>
  <c r="M122" i="1"/>
  <c r="L122" i="1"/>
  <c r="D122" i="1"/>
  <c r="L121" i="1"/>
  <c r="D121" i="1"/>
  <c r="L120" i="1"/>
  <c r="D120" i="1"/>
  <c r="L119" i="1"/>
  <c r="D119" i="1"/>
  <c r="M118" i="1"/>
  <c r="L118" i="1"/>
  <c r="D118" i="1"/>
  <c r="L117" i="1"/>
  <c r="D117" i="1"/>
  <c r="L116" i="1"/>
  <c r="D116" i="1"/>
  <c r="D115" i="1"/>
  <c r="M114" i="1"/>
  <c r="L114" i="1"/>
  <c r="D114" i="1"/>
  <c r="L113" i="1"/>
  <c r="D113" i="1"/>
  <c r="L112" i="1"/>
  <c r="D112" i="1"/>
  <c r="L111" i="1"/>
  <c r="D111" i="1"/>
  <c r="L110" i="1"/>
  <c r="D110" i="1"/>
  <c r="L109" i="1"/>
  <c r="D109" i="1"/>
  <c r="L108" i="1"/>
  <c r="D108" i="1"/>
  <c r="D107" i="1"/>
  <c r="L106" i="1"/>
  <c r="D106" i="1"/>
  <c r="L105" i="1"/>
  <c r="D105" i="1"/>
  <c r="L104" i="1"/>
  <c r="D104" i="1"/>
  <c r="L103" i="1"/>
  <c r="D103" i="1"/>
  <c r="L102" i="1"/>
  <c r="D102" i="1"/>
  <c r="D101" i="1"/>
  <c r="M100" i="1"/>
  <c r="L100" i="1"/>
  <c r="D100" i="1"/>
  <c r="L99" i="1"/>
  <c r="D99" i="1"/>
  <c r="L98" i="1"/>
  <c r="D98" i="1"/>
  <c r="L97" i="1"/>
  <c r="D97" i="1"/>
  <c r="L96" i="1"/>
  <c r="D96" i="1"/>
  <c r="L95" i="1"/>
  <c r="D95" i="1"/>
  <c r="L94" i="1"/>
  <c r="D94" i="1"/>
  <c r="L93" i="1"/>
  <c r="D93" i="1"/>
  <c r="M92" i="1"/>
  <c r="L92" i="1"/>
  <c r="D92" i="1"/>
  <c r="M91" i="1"/>
  <c r="L91" i="1"/>
  <c r="D91" i="1"/>
  <c r="L90" i="1"/>
  <c r="D90" i="1"/>
  <c r="L89" i="1"/>
  <c r="D89" i="1"/>
  <c r="L88" i="1"/>
  <c r="D88" i="1"/>
  <c r="L87" i="1"/>
  <c r="D87" i="1"/>
  <c r="D86" i="1"/>
  <c r="L85" i="1"/>
  <c r="D85" i="1"/>
  <c r="M84" i="1"/>
  <c r="L84" i="1"/>
  <c r="D84" i="1"/>
  <c r="L83" i="1"/>
  <c r="D83" i="1"/>
  <c r="L82" i="1"/>
  <c r="D82" i="1"/>
  <c r="L81" i="1"/>
  <c r="D81" i="1"/>
  <c r="L80" i="1"/>
  <c r="D80" i="1"/>
  <c r="L79" i="1"/>
  <c r="D79" i="1"/>
  <c r="L78" i="1"/>
  <c r="D78" i="1"/>
  <c r="L77" i="1"/>
  <c r="D77" i="1"/>
  <c r="L76" i="1"/>
  <c r="D76" i="1"/>
  <c r="L75" i="1"/>
  <c r="D75" i="1"/>
  <c r="L74" i="1"/>
  <c r="D74" i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L27" i="1"/>
  <c r="D27" i="1"/>
  <c r="L73" i="1"/>
  <c r="D73" i="1"/>
  <c r="L56" i="1"/>
  <c r="D56" i="1"/>
  <c r="L55" i="1"/>
  <c r="D55" i="1"/>
  <c r="L54" i="1"/>
  <c r="D54" i="1"/>
  <c r="M41" i="1"/>
  <c r="L41" i="1"/>
  <c r="D41" i="1"/>
  <c r="M26" i="1"/>
  <c r="L26" i="1"/>
  <c r="D26" i="1"/>
  <c r="L53" i="1"/>
  <c r="D53" i="1"/>
  <c r="L40" i="1"/>
  <c r="D40" i="1"/>
  <c r="L39" i="1"/>
  <c r="D39" i="1"/>
  <c r="M72" i="1"/>
  <c r="L72" i="1"/>
  <c r="D72" i="1"/>
  <c r="L52" i="1"/>
  <c r="D52" i="1"/>
  <c r="L38" i="1"/>
  <c r="D38" i="1"/>
  <c r="M25" i="1"/>
  <c r="L25" i="1"/>
  <c r="D25" i="1"/>
  <c r="L24" i="1"/>
  <c r="D24" i="1"/>
  <c r="D23" i="1"/>
  <c r="M51" i="1"/>
  <c r="L51" i="1"/>
  <c r="D51" i="1"/>
  <c r="D37" i="1"/>
  <c r="L36" i="1"/>
  <c r="D36" i="1"/>
  <c r="M35" i="1"/>
  <c r="L35" i="1"/>
  <c r="D35" i="1"/>
  <c r="L22" i="1"/>
  <c r="D22" i="1"/>
  <c r="D71" i="1"/>
  <c r="M70" i="1"/>
  <c r="L70" i="1"/>
  <c r="D70" i="1"/>
  <c r="M50" i="1"/>
  <c r="L50" i="1"/>
  <c r="D50" i="1"/>
  <c r="M34" i="1"/>
  <c r="L34" i="1"/>
  <c r="D34" i="1"/>
  <c r="L33" i="1"/>
  <c r="D33" i="1"/>
  <c r="L21" i="1"/>
  <c r="D21" i="1"/>
  <c r="L20" i="1"/>
  <c r="D20" i="1"/>
  <c r="L19" i="1"/>
  <c r="D19" i="1"/>
  <c r="M18" i="1"/>
  <c r="L18" i="1"/>
  <c r="D18" i="1"/>
  <c r="L17" i="1"/>
  <c r="D17" i="1"/>
  <c r="L49" i="1"/>
  <c r="D49" i="1"/>
  <c r="L32" i="1"/>
  <c r="D32" i="1"/>
  <c r="M16" i="1"/>
  <c r="L16" i="1"/>
  <c r="D16" i="1"/>
  <c r="L69" i="1"/>
  <c r="D69" i="1"/>
  <c r="M68" i="1"/>
  <c r="L68" i="1"/>
  <c r="D68" i="1"/>
  <c r="L48" i="1"/>
  <c r="D48" i="1"/>
  <c r="L15" i="1"/>
  <c r="D15" i="1"/>
  <c r="L14" i="1"/>
  <c r="D14" i="1"/>
  <c r="L13" i="1"/>
  <c r="D13" i="1"/>
  <c r="L12" i="1"/>
  <c r="D12" i="1"/>
  <c r="L67" i="1"/>
  <c r="D67" i="1"/>
  <c r="L47" i="1"/>
  <c r="D47" i="1"/>
  <c r="L46" i="1"/>
  <c r="D46" i="1"/>
  <c r="L31" i="1"/>
  <c r="D31" i="1"/>
  <c r="L30" i="1"/>
  <c r="D30" i="1"/>
  <c r="D11" i="1"/>
  <c r="L10" i="1"/>
  <c r="D10" i="1"/>
  <c r="D9" i="1"/>
  <c r="L66" i="1"/>
  <c r="D66" i="1"/>
  <c r="L45" i="1"/>
  <c r="D45" i="1"/>
  <c r="L8" i="1"/>
  <c r="D8" i="1"/>
  <c r="L65" i="1"/>
  <c r="D65" i="1"/>
  <c r="L64" i="1"/>
  <c r="D64" i="1"/>
  <c r="L63" i="1"/>
  <c r="D63" i="1"/>
  <c r="L62" i="1"/>
  <c r="D62" i="1"/>
  <c r="M7" i="1"/>
  <c r="L7" i="1"/>
  <c r="D7" i="1"/>
  <c r="L61" i="1"/>
  <c r="D61" i="1"/>
  <c r="L6" i="1"/>
  <c r="D6" i="1"/>
  <c r="M5" i="1"/>
  <c r="L5" i="1"/>
  <c r="D5" i="1"/>
  <c r="L4" i="1"/>
  <c r="D4" i="1"/>
  <c r="L3" i="1"/>
  <c r="D3" i="1"/>
  <c r="B3" i="2" s="1"/>
  <c r="L60" i="1"/>
  <c r="D60" i="1"/>
  <c r="L59" i="1"/>
  <c r="D59" i="1"/>
  <c r="L2" i="1"/>
  <c r="D2" i="1"/>
  <c r="A6" i="3" s="1" a="1"/>
  <c r="A6" i="3" s="1"/>
  <c r="L29" i="1"/>
  <c r="D29" i="1"/>
  <c r="L58" i="1"/>
  <c r="D58" i="1"/>
  <c r="L28" i="1"/>
  <c r="D28" i="1"/>
  <c r="L57" i="1"/>
  <c r="D57" i="1"/>
  <c r="L44" i="1"/>
  <c r="D44" i="1"/>
  <c r="L43" i="1"/>
  <c r="D43" i="1"/>
  <c r="L42" i="1"/>
  <c r="D42" i="1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X16" i="2"/>
  <c r="X17" i="2"/>
  <c r="X18" i="2"/>
  <c r="X19" i="2"/>
  <c r="X20" i="2"/>
  <c r="X21" i="2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F213" i="2" l="1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F3" i="2"/>
  <c r="G19" i="2"/>
  <c r="G7" i="2"/>
  <c r="H23" i="2"/>
  <c r="H11" i="2"/>
  <c r="I15" i="2"/>
  <c r="I3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G3" i="2"/>
  <c r="H19" i="2"/>
  <c r="H7" i="2"/>
  <c r="I23" i="2"/>
  <c r="I11" i="2"/>
  <c r="J15" i="2"/>
  <c r="J3" i="2"/>
  <c r="L15" i="2"/>
  <c r="AA6" i="2"/>
  <c r="F12" i="2"/>
  <c r="G4" i="2"/>
  <c r="H20" i="2"/>
  <c r="K20" i="2" s="1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K8" i="2" l="1"/>
  <c r="K30" i="2"/>
  <c r="K32" i="2"/>
  <c r="K31" i="2"/>
  <c r="AG204" i="2"/>
  <c r="K24" i="2"/>
  <c r="AC204" i="2"/>
  <c r="AD204" i="2"/>
  <c r="AF20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<sst xmlns="http://schemas.openxmlformats.org/spreadsheetml/2006/main" count="4617" uniqueCount="675">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</sst>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9"/>
                <c:pt idx="0">
                  <c:v>Al'ar</c:v>
                </c:pt>
                <c:pt idx="1">
                  <c:v>Das Grauen aus der Tiefe</c:v>
                </c:pt>
                <c:pt idx="2">
                  <c:v>Fathom-Lord Karathress</c:v>
                </c:pt>
                <c:pt idx="3">
                  <c:v>Gruul der Drachenschlächter</c:v>
                </c:pt>
                <c:pt idx="4">
                  <c:v>Hochastromantin Solarian</c:v>
                </c:pt>
                <c:pt idx="5">
                  <c:v>Hydross der Unstete</c:v>
                </c:pt>
                <c:pt idx="6">
                  <c:v>Hydross the Unstable</c:v>
                </c:pt>
                <c:pt idx="7">
                  <c:v>Kael'thas Sonnenwanderer</c:v>
                </c:pt>
                <c:pt idx="8">
                  <c:v>Kael'thas Sunstrider</c:v>
                </c:pt>
                <c:pt idx="9">
                  <c:v>Lady Vashj</c:v>
                </c:pt>
                <c:pt idx="10">
                  <c:v>Leerhäscher</c:v>
                </c:pt>
                <c:pt idx="11">
                  <c:v>Leotheras der Blinde</c:v>
                </c:pt>
                <c:pt idx="12">
                  <c:v>Leotheras the Blind</c:v>
                </c:pt>
                <c:pt idx="13">
                  <c:v>Magtheridon</c:v>
                </c:pt>
                <c:pt idx="14">
                  <c:v>Morogrim Gezeitenwandler</c:v>
                </c:pt>
                <c:pt idx="15">
                  <c:v>Morogrim Tidewalker</c:v>
                </c:pt>
                <c:pt idx="16">
                  <c:v>The Lurker Below</c:v>
                </c:pt>
                <c:pt idx="17">
                  <c:v>Tiefenlord Karathress</c:v>
                </c:pt>
                <c:pt idx="18">
                  <c:v>Unbekannt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9"/>
                <c:pt idx="0">
                  <c:v>6</c:v>
                </c:pt>
                <c:pt idx="1">
                  <c:v>3</c:v>
                </c:pt>
                <c:pt idx="2">
                  <c:v>5</c:v>
                </c:pt>
                <c:pt idx="3">
                  <c:v>18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6</c:v>
                </c:pt>
                <c:pt idx="8">
                  <c:v>31</c:v>
                </c:pt>
                <c:pt idx="9">
                  <c:v>21</c:v>
                </c:pt>
                <c:pt idx="10">
                  <c:v>8</c:v>
                </c:pt>
                <c:pt idx="11">
                  <c:v>19</c:v>
                </c:pt>
                <c:pt idx="12">
                  <c:v>1</c:v>
                </c:pt>
                <c:pt idx="13">
                  <c:v>12</c:v>
                </c:pt>
                <c:pt idx="14">
                  <c:v>18</c:v>
                </c:pt>
                <c:pt idx="15">
                  <c:v>5</c:v>
                </c:pt>
                <c:pt idx="16">
                  <c:v>1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topLeftCell="A141" workbookViewId="0">
      <selection activeCell="D193" sqref="D193"/>
    </sheetView>
  </sheetViews>
  <sheetFormatPr baseColWidth="10" defaultColWidth="11" defaultRowHeight="16" x14ac:dyDescent="0.2"/>
  <cols>
    <col min="1" max="1" width="24.83203125" bestFit="1" customWidth="1"/>
    <col min="2" max="2" width="10.1640625" bestFit="1" customWidth="1"/>
    <col min="3" max="3" width="8.1640625" customWidth="1"/>
    <col min="4" max="4" width="38" bestFit="1" customWidth="1"/>
    <col min="5" max="5" width="6.6640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23.33203125" customWidth="1"/>
    <col min="12" max="12" width="37.1640625" customWidth="1"/>
    <col min="13" max="13" width="35.6640625" customWidth="1"/>
    <col min="14" max="14" width="10.33203125" customWidth="1"/>
    <col min="15" max="15" width="13.5" customWidth="1"/>
    <col min="16" max="16" width="7.5" customWidth="1"/>
    <col min="17" max="17" width="17.83203125" customWidth="1"/>
    <col min="18" max="18" width="9.83203125" customWidth="1"/>
    <col min="19" max="19" width="49.1640625" customWidth="1"/>
    <col min="20" max="20" width="24.83203125" customWidth="1"/>
    <col min="21" max="21" width="11" customWidth="1"/>
  </cols>
  <sheetData>
    <row r="1" spans="1:21" x14ac:dyDescent="0.2">
      <c r="A1" s="17" t="s">
        <v>0</v>
      </c>
      <c r="B1" s="17" t="s">
        <v>1</v>
      </c>
      <c r="C1" t="s">
        <v>2</v>
      </c>
      <c r="D1" s="17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">
      <c r="A2" t="s">
        <v>21</v>
      </c>
      <c r="B2" s="1">
        <v>46160</v>
      </c>
      <c r="C2" s="2">
        <v>0.91111111111111109</v>
      </c>
      <c r="D2" t="str">
        <f>HYPERLINK("https://tbc.wowhead.com/item=30241","[Handschuhe des bezwungenen Helden]")</f>
        <v>[Handschuhe des bezwungenen Helden]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25</v>
      </c>
      <c r="K2" t="s">
        <v>26</v>
      </c>
      <c r="L2" t="str">
        <f>HYPERLINK("https://tbc.wowhead.com/item=27474","[Handschützer des Wildtierfürsten]")</f>
        <v>[Handschützer des Wildtierfürsten]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">
      <c r="A3" t="s">
        <v>30</v>
      </c>
      <c r="B3" s="1">
        <v>46160</v>
      </c>
      <c r="C3" s="2">
        <v>0.86111111111111116</v>
      </c>
      <c r="D3" t="str">
        <f>HYPERLINK("https://tbc.wowhead.com/item=30054","[Brustschutz des Waldläufergenerals]")</f>
        <v>[Brustschutz des Waldläufergenerals]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25</v>
      </c>
      <c r="K3" t="s">
        <v>34</v>
      </c>
      <c r="L3" t="str">
        <f>HYPERLINK("https://tbc.wowhead.com/item=28601","[Brustschutz des Verschwörers]")</f>
        <v>[Brustschutz des Verschwörers]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">
      <c r="A4" t="s">
        <v>30</v>
      </c>
      <c r="B4" s="1">
        <v>46160</v>
      </c>
      <c r="C4" s="2">
        <v>0.87638888888888888</v>
      </c>
      <c r="D4" t="str">
        <f>HYPERLINK("https://tbc.wowhead.com/item=30065","[Leuchtende Brustplatte der Wahrheit]")</f>
        <v>[Leuchtende Brustplatte der Wahrheit]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25</v>
      </c>
      <c r="K4" t="s">
        <v>34</v>
      </c>
      <c r="L4" t="str">
        <f>HYPERLINK("https://tbc.wowhead.com/item=28601","[Brustschutz des Verschwörers]")</f>
        <v>[Brustschutz des Verschwörers]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">
      <c r="A5" t="s">
        <v>30</v>
      </c>
      <c r="B5" s="1">
        <v>46160</v>
      </c>
      <c r="C5" s="2">
        <v>0.87708333333333333</v>
      </c>
      <c r="D5" t="str">
        <f>HYPERLINK("https://tbc.wowhead.com/item=30061","[Ahnenring der Eroberung]")</f>
        <v>[Ahnenring der Eroberung]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25</v>
      </c>
      <c r="K5" t="s">
        <v>34</v>
      </c>
      <c r="L5" t="str">
        <f>HYPERLINK("https://tbc.wowhead.com/item=30834","[Siegel des Gestaltwandlers]")</f>
        <v>[Siegel des Gestaltwandlers]</v>
      </c>
      <c r="M5" t="str">
        <f>HYPERLINK("https://tbc.wowhead.com/item=29177","[A'dals Gebot]")</f>
        <v>[A'dals Gebot]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">
      <c r="A6" t="s">
        <v>30</v>
      </c>
      <c r="B6" s="1">
        <v>46160</v>
      </c>
      <c r="C6" s="2">
        <v>0.91041666666666665</v>
      </c>
      <c r="D6" t="str">
        <f>HYPERLINK("https://tbc.wowhead.com/item=30090","[Weltenbrecher]")</f>
        <v>[Weltenbrecher]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25</v>
      </c>
      <c r="K6" t="s">
        <v>26</v>
      </c>
      <c r="L6" t="str">
        <f>HYPERLINK("https://tbc.wowhead.com/item=28773","[Blutschrei]")</f>
        <v>[Blutschrei]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">
      <c r="A7" t="s">
        <v>47</v>
      </c>
      <c r="B7" s="1">
        <v>46160</v>
      </c>
      <c r="C7" s="2">
        <v>0.87708333333333333</v>
      </c>
      <c r="D7" t="str">
        <f>HYPERLINK("https://tbc.wowhead.com/item=30665","[Ohrring der seelenvollen Meditation]")</f>
        <v>[Ohrring der seelenvollen Meditation]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25</v>
      </c>
      <c r="K7" t="s">
        <v>34</v>
      </c>
      <c r="L7" t="str">
        <f>HYPERLINK("https://tbc.wowhead.com/item=29376","[Essenz des Märtyrers]")</f>
        <v>[Essenz des Märtyrers]</v>
      </c>
      <c r="M7" t="str">
        <f>HYPERLINK("https://tbc.wowhead.com/item=28590","[Schleife der Opferung]")</f>
        <v>[Schleife der Opferung]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">
      <c r="A8" t="s">
        <v>29</v>
      </c>
      <c r="B8" s="1">
        <v>46160</v>
      </c>
      <c r="C8" s="2">
        <v>0.97916666666666663</v>
      </c>
      <c r="D8" t="str">
        <f>HYPERLINK("https://tbc.wowhead.com/item=30106","[Gürtel der hundert Tode]")</f>
        <v>[Gürtel der hundert Tode]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25</v>
      </c>
      <c r="K8" t="s">
        <v>53</v>
      </c>
      <c r="L8" t="str">
        <f>HYPERLINK("https://tbc.wowhead.com/item=28750","[Gurt des Verrats]")</f>
        <v>[Gurt des Verrats]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">
      <c r="A9" t="s">
        <v>56</v>
      </c>
      <c r="B9" s="1">
        <v>46160</v>
      </c>
      <c r="C9" s="2">
        <v>0.88749999999999996</v>
      </c>
      <c r="D9" t="str">
        <f>HYPERLINK("https://tbc.wowhead.com/item=30183","[Nethervortex]")</f>
        <v>[Nethervortex]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25</v>
      </c>
      <c r="K9" t="s">
        <v>34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">
      <c r="A10" t="s">
        <v>56</v>
      </c>
      <c r="B10" s="1">
        <v>46160</v>
      </c>
      <c r="C10" s="2">
        <v>0.90972222222222221</v>
      </c>
      <c r="D10" t="str">
        <f>HYPERLINK("https://tbc.wowhead.com/item=30025","[Shuriken des Schlangenschreins]")</f>
        <v>[Shuriken des Schlangenschreins]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25</v>
      </c>
      <c r="K10" t="s">
        <v>26</v>
      </c>
      <c r="L10" t="str">
        <f>HYPERLINK("https://tbc.wowhead.com/item=28772","[Phönixbogen des Sonnenzorns]")</f>
        <v>[Phönixbogen des Sonnenzorns]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">
      <c r="A11" t="s">
        <v>56</v>
      </c>
      <c r="B11" s="1">
        <v>46160</v>
      </c>
      <c r="C11" s="2">
        <v>0.91041666666666665</v>
      </c>
      <c r="D11" t="str">
        <f>HYPERLINK("https://tbc.wowhead.com/item=30283","[Muster: Stiefel des langen Weges]")</f>
        <v>[Muster: Stiefel des langen Weges]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25</v>
      </c>
      <c r="K11" t="s">
        <v>26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">
      <c r="A12" t="s">
        <v>66</v>
      </c>
      <c r="B12" s="1">
        <v>46160</v>
      </c>
      <c r="C12" s="2">
        <v>0.90902777777777777</v>
      </c>
      <c r="D12" t="str">
        <f>HYPERLINK("https://tbc.wowhead.com/item=30008","[Anhänger der verlorenen Zeiten]")</f>
        <v>[Anhänger der verlorenen Zeiten]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25</v>
      </c>
      <c r="K12" t="s">
        <v>26</v>
      </c>
      <c r="L12" t="str">
        <f>HYPERLINK("https://tbc.wowhead.com/item=29333","[Prophetenhalsring der Sethekk]")</f>
        <v>[Prophetenhalsring der Sethekk]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">
      <c r="A13" t="s">
        <v>70</v>
      </c>
      <c r="B13" s="1">
        <v>46160</v>
      </c>
      <c r="C13" s="2">
        <v>0.97916666666666663</v>
      </c>
      <c r="D13" t="str">
        <f>HYPERLINK("https://tbc.wowhead.com/item=30244","[Helm des bezwungenen Helden]")</f>
        <v>[Helm des bezwungenen Helden]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25</v>
      </c>
      <c r="K13" t="s">
        <v>53</v>
      </c>
      <c r="L13" t="str">
        <f>HYPERLINK("https://tbc.wowhead.com/item=28963","[Krone des Herzens der Leere]")</f>
        <v>[Krone des Herzens der Leere]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">
      <c r="A14" t="s">
        <v>73</v>
      </c>
      <c r="B14" s="1">
        <v>46160</v>
      </c>
      <c r="C14" s="2">
        <v>0.90902777777777777</v>
      </c>
      <c r="D14" t="str">
        <f>HYPERLINK("https://tbc.wowhead.com/item=30245","[Gamaschen des bezwungenen Champions]")</f>
        <v>[Gamaschen des bezwungenen Champions]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25</v>
      </c>
      <c r="K14" t="s">
        <v>26</v>
      </c>
      <c r="L14" t="str">
        <f>HYPERLINK("https://tbc.wowhead.com/item=28751","[Gamaschen der Herzensflamme]")</f>
        <v>[Gamaschen der Herzensflamme]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">
      <c r="A15" t="s">
        <v>73</v>
      </c>
      <c r="B15" s="1">
        <v>46160</v>
      </c>
      <c r="C15" s="2">
        <v>0.91041666666666665</v>
      </c>
      <c r="D15" t="str">
        <f>HYPERLINK("https://tbc.wowhead.com/item=30097","[Stachelige Korallenschulterpolster]")</f>
        <v>[Stachelige Korallenschulterpolster]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25</v>
      </c>
      <c r="K15" t="s">
        <v>26</v>
      </c>
      <c r="L15" t="str">
        <f>HYPERLINK("https://tbc.wowhead.com/item=29031","[Schulterpolster des Orkans]")</f>
        <v>[Schulterpolster des Orkans]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">
      <c r="A16" t="s">
        <v>78</v>
      </c>
      <c r="B16" s="1">
        <v>46160</v>
      </c>
      <c r="C16" s="2">
        <v>0.86250000000000004</v>
      </c>
      <c r="D16" t="str">
        <f>HYPERLINK("https://tbc.wowhead.com/item=30664","[Lebendige Wurzel des Wildherzens]")</f>
        <v>[Lebendige Wurzel des Wildherzens]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25</v>
      </c>
      <c r="K16" t="s">
        <v>34</v>
      </c>
      <c r="L16" t="str">
        <f>HYPERLINK("https://tbc.wowhead.com/item=13503","[Alchimistenstein]")</f>
        <v>[Alchimistenstein]</v>
      </c>
      <c r="M16" t="str">
        <f>HYPERLINK("https://tbc.wowhead.com/item=29179","[Xi'ris Gabe]")</f>
        <v>[Xi'ris Gabe]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">
      <c r="A17" t="s">
        <v>80</v>
      </c>
      <c r="B17" s="1">
        <v>46160</v>
      </c>
      <c r="C17" s="2">
        <v>0.91180555555555554</v>
      </c>
      <c r="D17" t="str">
        <f>HYPERLINK("https://tbc.wowhead.com/item=30241","[Handschuhe des bezwungenen Helden]")</f>
        <v>[Handschuhe des bezwungenen Helden]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25</v>
      </c>
      <c r="K17" t="s">
        <v>26</v>
      </c>
      <c r="L17" t="str">
        <f>HYPERLINK("https://tbc.wowhead.com/item=21847","[Zauberfeuerhandschuhe]")</f>
        <v>[Zauberfeuerhandschuhe]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">
      <c r="A18" t="s">
        <v>81</v>
      </c>
      <c r="B18" s="1">
        <v>46160</v>
      </c>
      <c r="C18" s="2">
        <v>0.8618055555555556</v>
      </c>
      <c r="D18" t="str">
        <f>HYPERLINK("https://tbc.wowhead.com/item=30052","[Ring der Tödlichkeit]")</f>
        <v>[Ring der Tödlichkeit]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25</v>
      </c>
      <c r="K18" t="s">
        <v>34</v>
      </c>
      <c r="L18" t="str">
        <f>HYPERLINK("https://tbc.wowhead.com/item=29282","[Violettes Siegel]")</f>
        <v>[Violettes Siegel]</v>
      </c>
      <c r="M18" t="str">
        <f>HYPERLINK("https://tbc.wowhead.com/item=28323","[Ring des schattenhaften Schicksals]")</f>
        <v>[Ring des schattenhaften Schicksals]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">
      <c r="A19" t="s">
        <v>84</v>
      </c>
      <c r="B19" s="1">
        <v>46160</v>
      </c>
      <c r="C19" s="2">
        <v>0.90902777777777777</v>
      </c>
      <c r="D19" t="str">
        <f>HYPERLINK("https://tbc.wowhead.com/item=30245","[Gamaschen des bezwungenen Champions]")</f>
        <v>[Gamaschen des bezwungenen Champions]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25</v>
      </c>
      <c r="K19" t="s">
        <v>26</v>
      </c>
      <c r="L19" t="str">
        <f>HYPERLINK("https://tbc.wowhead.com/item=29069","[Beinschützer des Rechtsprechers]")</f>
        <v>[Beinschützer des Rechtsprechers]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">
      <c r="A20" t="s">
        <v>84</v>
      </c>
      <c r="B20" s="1">
        <v>46160</v>
      </c>
      <c r="C20" s="2">
        <v>0.91041666666666665</v>
      </c>
      <c r="D20" t="str">
        <f>HYPERLINK("https://tbc.wowhead.com/item=30239","[Handschuhe des bezwungenen Champions]")</f>
        <v>[Handschuhe des bezwungenen Champions]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25</v>
      </c>
      <c r="K20" t="s">
        <v>26</v>
      </c>
      <c r="L20" t="str">
        <f>HYPERLINK("https://tbc.wowhead.com/item=29067","[Handschützer des Rechtsprechers]")</f>
        <v>[Handschützer des Rechtsprechers]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">
      <c r="A21" t="s">
        <v>84</v>
      </c>
      <c r="B21" s="1">
        <v>46160</v>
      </c>
      <c r="C21" s="2">
        <v>0.97847222222222219</v>
      </c>
      <c r="D21" t="str">
        <f>HYPERLINK("https://tbc.wowhead.com/item=30242","[Helm des bezwungenen Champions]")</f>
        <v>[Helm des bezwungenen Champions]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25</v>
      </c>
      <c r="K21" t="s">
        <v>53</v>
      </c>
      <c r="L21" t="str">
        <f>HYPERLINK("https://tbc.wowhead.com/item=32473","[Panzatronikbrille]")</f>
        <v>[Panzatronikbrille]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">
      <c r="A22" t="s">
        <v>87</v>
      </c>
      <c r="B22" s="1">
        <v>46160</v>
      </c>
      <c r="C22" s="2">
        <v>0.90902777777777777</v>
      </c>
      <c r="D22" t="str">
        <f>HYPERLINK("https://tbc.wowhead.com/item=30081","[Kriegsstiefel der Auslöschung]")</f>
        <v>[Kriegsstiefel der Auslöschung]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25</v>
      </c>
      <c r="K22" t="s">
        <v>26</v>
      </c>
      <c r="L22" t="str">
        <f>HYPERLINK("https://tbc.wowhead.com/item=28608","[Eisenschreiter der Dringlichkeit]")</f>
        <v>[Eisenschreiter der Dringlichkeit]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">
      <c r="A23" t="s">
        <v>90</v>
      </c>
      <c r="B23" s="1">
        <v>46160</v>
      </c>
      <c r="C23" s="2">
        <v>0.87777777777777777</v>
      </c>
      <c r="D23" t="str">
        <f>HYPERLINK("https://tbc.wowhead.com/item=30023","[Totem des Mahlstroms]")</f>
        <v>[Totem des Mahlstroms]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25</v>
      </c>
      <c r="K23" t="s">
        <v>34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">
      <c r="A24" t="s">
        <v>90</v>
      </c>
      <c r="B24" s="1">
        <v>46160</v>
      </c>
      <c r="C24" s="2">
        <v>0.90902777777777777</v>
      </c>
      <c r="D24" t="str">
        <f>HYPERLINK("https://tbc.wowhead.com/item=30245","[Gamaschen des bezwungenen Champions]")</f>
        <v>[Gamaschen des bezwungenen Champions]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25</v>
      </c>
      <c r="K24" t="s">
        <v>26</v>
      </c>
      <c r="L24" t="str">
        <f>HYPERLINK("https://tbc.wowhead.com/item=24262","[Hose des Zauberschlags]")</f>
        <v>[Hose des Zauberschlags]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">
      <c r="A25" t="s">
        <v>94</v>
      </c>
      <c r="B25" s="1">
        <v>46160</v>
      </c>
      <c r="C25" s="2">
        <v>0.90902777777777777</v>
      </c>
      <c r="D25" t="str">
        <f>HYPERLINK("https://tbc.wowhead.com/item=30720","[Flechte der Schlangenschlinge]")</f>
        <v>[Flechte der Schlangenschlinge]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25</v>
      </c>
      <c r="K25" t="s">
        <v>26</v>
      </c>
      <c r="L25" t="str">
        <f>HYPERLINK("https://tbc.wowhead.com/item=29370","[Ikone des Silberwappens]")</f>
        <v>[Ikone des Silberwappens]</v>
      </c>
      <c r="M25" t="str">
        <f>HYPERLINK("https://tbc.wowhead.com/item=28785","[Der Blitzkondensator]")</f>
        <v>[Der Blitzkondensator]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">
      <c r="A26" t="s">
        <v>96</v>
      </c>
      <c r="B26" s="1">
        <v>46160</v>
      </c>
      <c r="C26" s="2">
        <v>0.98055555555555551</v>
      </c>
      <c r="D26" t="str">
        <f>HYPERLINK("https://tbc.wowhead.com/item=30109","[Ring der Endlosschleife]")</f>
        <v>[Ring der Endlosschleife]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25</v>
      </c>
      <c r="K26" t="s">
        <v>53</v>
      </c>
      <c r="L26" t="str">
        <f>HYPERLINK("https://tbc.wowhead.com/item=28793","[Band des purpurroten Furors]")</f>
        <v>[Band des purpurroten Furors]</v>
      </c>
      <c r="M26" t="str">
        <f>HYPERLINK("https://tbc.wowhead.com/item=28753","[Ring der Wiederkehr]")</f>
        <v>[Ring der Wiederkehr]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">
      <c r="A27" t="s">
        <v>98</v>
      </c>
      <c r="B27" s="1">
        <v>46160</v>
      </c>
      <c r="C27" s="2">
        <v>0.97916666666666663</v>
      </c>
      <c r="D27" t="str">
        <f>HYPERLINK("https://tbc.wowhead.com/item=30244","[Helm des bezwungenen Helden]")</f>
        <v>[Helm des bezwungenen Helden]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25</v>
      </c>
      <c r="K27" t="s">
        <v>53</v>
      </c>
      <c r="L27" t="str">
        <f>HYPERLINK("https://tbc.wowhead.com/item=28963","[Krone des Herzens der Leere]")</f>
        <v>[Krone des Herzens der Leere]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">
      <c r="A28" t="s">
        <v>99</v>
      </c>
      <c r="B28" s="1">
        <v>46161</v>
      </c>
      <c r="C28" s="2">
        <v>0.90069444444444446</v>
      </c>
      <c r="D28" t="str">
        <f>HYPERLINK("https://tbc.wowhead.com/item=30029","[Bark-Gloves of Ancient Wisdom]")</f>
        <v>[Bark-Gloves of Ancient Wisdom]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102</v>
      </c>
      <c r="L28" t="str">
        <f>HYPERLINK("https://tbc.wowhead.com/item=27536","[Hallowed Handwraps]")</f>
        <v>[Hallowed Handwraps]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">
      <c r="A29" t="s">
        <v>105</v>
      </c>
      <c r="B29" s="1">
        <v>46161</v>
      </c>
      <c r="C29" s="2">
        <v>0.90138888888888891</v>
      </c>
      <c r="D29" t="str">
        <f>HYPERLINK("https://tbc.wowhead.com/item=29949","[Arcanite Steam-Pistol]")</f>
        <v>[Arcanite Steam-Pistol]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102</v>
      </c>
      <c r="L29" t="str">
        <f>HYPERLINK("https://tbc.wowhead.com/item=28772","[Sunfury Bow of the Phoenix]")</f>
        <v>[Sunfury Bow of the Phoenix]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">
      <c r="A30" t="s">
        <v>56</v>
      </c>
      <c r="B30" s="1">
        <v>46161</v>
      </c>
      <c r="C30" s="2">
        <v>0.91111111111111109</v>
      </c>
      <c r="D30" t="str">
        <f>HYPERLINK("https://tbc.wowhead.com/item=29983","[Fel-Steel Warhelm]")</f>
        <v>[Fel-Steel Warhelm]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102</v>
      </c>
      <c r="L30" t="str">
        <f>HYPERLINK("https://tbc.wowhead.com/item=29011","[Warbringer Greathelm]")</f>
        <v>[Warbringer Greathelm]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">
      <c r="A31" t="s">
        <v>56</v>
      </c>
      <c r="B31" s="1">
        <v>46161</v>
      </c>
      <c r="C31" s="2">
        <v>0.92986111111111114</v>
      </c>
      <c r="D31" t="str">
        <f>HYPERLINK("https://tbc.wowhead.com/item=30249","[Pauldrons of the Vanquished Defender]")</f>
        <v>[Pauldrons of the Vanquished Defender]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102</v>
      </c>
      <c r="L31" t="str">
        <f>HYPERLINK("https://tbc.wowhead.com/item=29016","[Warbringer Shoulderguards]")</f>
        <v>[Warbringer Shoulderguards]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">
      <c r="A32" t="s">
        <v>78</v>
      </c>
      <c r="B32" s="1">
        <v>46161</v>
      </c>
      <c r="C32" s="2">
        <v>0.90069444444444446</v>
      </c>
      <c r="D32" t="str">
        <f>HYPERLINK("https://tbc.wowhead.com/item=29918","[Mindstorm Wristbands]")</f>
        <v>[Mindstorm Wristbands]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102</v>
      </c>
      <c r="L32" t="str">
        <f>HYPERLINK("https://tbc.wowhead.com/item=28453","[Bracers of the White Stag]")</f>
        <v>[Bracers of the White Stag]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">
      <c r="A33" t="s">
        <v>84</v>
      </c>
      <c r="B33" s="1">
        <v>46161</v>
      </c>
      <c r="C33" s="2">
        <v>0.93055555555555558</v>
      </c>
      <c r="D33" t="str">
        <f>HYPERLINK("https://tbc.wowhead.com/item=32267","[Boots of the Resilient]")</f>
        <v>[Boots of the Resilient]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102</v>
      </c>
      <c r="L33" t="str">
        <f>HYPERLINK("https://tbc.wowhead.com/item=29254","[Boots of the Righteous Path]")</f>
        <v>[Boots of the Righteous Path]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">
      <c r="A34" t="s">
        <v>84</v>
      </c>
      <c r="B34" s="1">
        <v>46161</v>
      </c>
      <c r="C34" s="2">
        <v>0.93055555555555558</v>
      </c>
      <c r="D34" t="str">
        <f>HYPERLINK("https://tbc.wowhead.com/item=30028","[Seventh Ring of the Tirisfalen]")</f>
        <v>[Seventh Ring of the Tirisfalen]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102</v>
      </c>
      <c r="L34" t="str">
        <f>HYPERLINK("https://tbc.wowhead.com/item=29279","[Violet Signet of the Great Protector]")</f>
        <v>[Violet Signet of the Great Protector]</v>
      </c>
      <c r="M34" t="str">
        <f>HYPERLINK("https://tbc.wowhead.com/item=29384","[Ring of Unyielding Force]")</f>
        <v>[Ring of Unyielding Force]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">
      <c r="A35" t="s">
        <v>87</v>
      </c>
      <c r="B35" s="1">
        <v>46161</v>
      </c>
      <c r="C35" s="2">
        <v>0.90208333333333335</v>
      </c>
      <c r="D35" t="str">
        <f>HYPERLINK("https://tbc.wowhead.com/item=29924","[Netherbane]")</f>
        <v>[Netherbane]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102</v>
      </c>
      <c r="L35" t="str">
        <f>HYPERLINK("https://tbc.wowhead.com/item=28438","[Dragonmaw]")</f>
        <v>[Dragonmaw]</v>
      </c>
      <c r="M35" t="str">
        <f>HYPERLINK("https://tbc.wowhead.com/item=23542","[Fel Edged Battleaxe]")</f>
        <v>[Fel Edged Battleaxe]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">
      <c r="A36" t="s">
        <v>87</v>
      </c>
      <c r="B36" s="1">
        <v>46161</v>
      </c>
      <c r="C36" s="2">
        <v>0.93055555555555558</v>
      </c>
      <c r="D36" t="str">
        <f>HYPERLINK("https://tbc.wowhead.com/item=29950","[Greaves of the Bloodwarder]")</f>
        <v>[Greaves of the Bloodwarder]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102</v>
      </c>
      <c r="L36" t="str">
        <f>HYPERLINK("https://tbc.wowhead.com/item=29022","[Warbringer Greaves]")</f>
        <v>[Warbringer Greaves]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">
      <c r="A37" t="s">
        <v>87</v>
      </c>
      <c r="B37" s="1">
        <v>46161</v>
      </c>
      <c r="C37" s="2">
        <v>0.93125000000000002</v>
      </c>
      <c r="D37" t="str">
        <f>HYPERLINK("https://tbc.wowhead.com/item=30322","[Plans: Red Belt of Battle]")</f>
        <v>[Plans: Red Belt of Battle]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102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">
      <c r="A38" t="s">
        <v>94</v>
      </c>
      <c r="B38" s="1">
        <v>46161</v>
      </c>
      <c r="C38" s="2">
        <v>0.92986111111111114</v>
      </c>
      <c r="D38" t="str">
        <f>HYPERLINK("https://tbc.wowhead.com/item=30250","[Pauldrons of the Vanquished Hero]")</f>
        <v>[Pauldrons of the Vanquished Hero]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102</v>
      </c>
      <c r="L38" t="str">
        <f>HYPERLINK("https://tbc.wowhead.com/item=29079","[Pauldrons of the Aldor]")</f>
        <v>[Pauldrons of the Aldor]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">
      <c r="A39" t="s">
        <v>125</v>
      </c>
      <c r="B39" s="1">
        <v>46161</v>
      </c>
      <c r="C39" s="2">
        <v>0.90069444444444446</v>
      </c>
      <c r="D39" t="str">
        <f>HYPERLINK("https://tbc.wowhead.com/item=30029","[Bark-Gloves of Ancient Wisdom]")</f>
        <v>[Bark-Gloves of Ancient Wisdom]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102</v>
      </c>
      <c r="L39" t="str">
        <f>HYPERLINK("https://tbc.wowhead.com/item=28521","[Mitts of the Treemender]")</f>
        <v>[Mitts of the Treemender]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">
      <c r="A40" t="s">
        <v>125</v>
      </c>
      <c r="B40" s="1">
        <v>46161</v>
      </c>
      <c r="C40" s="2">
        <v>0.92986111111111114</v>
      </c>
      <c r="D40" t="str">
        <f>HYPERLINK("https://tbc.wowhead.com/item=30249","[Pauldrons of the Vanquished Defender]")</f>
        <v>[Pauldrons of the Vanquished Defender]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102</v>
      </c>
      <c r="L40" t="str">
        <f>HYPERLINK("https://tbc.wowhead.com/item=29089","[Shoulderguards of Malorne]")</f>
        <v>[Shoulderguards of Malorne]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">
      <c r="A41" t="s">
        <v>96</v>
      </c>
      <c r="B41" s="1">
        <v>46161</v>
      </c>
      <c r="C41" s="2">
        <v>0.93125000000000002</v>
      </c>
      <c r="D41" t="str">
        <f>HYPERLINK("https://tbc.wowhead.com/item=30449","[Void Star Talisman]")</f>
        <v>[Void Star Talisman]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102</v>
      </c>
      <c r="L41" t="str">
        <f>HYPERLINK("https://tbc.wowhead.com/item=29132","[Scryer's Bloodgem]")</f>
        <v>[Scryer's Bloodgem]</v>
      </c>
      <c r="M41" t="str">
        <f>HYPERLINK("https://tbc.wowhead.com/item=27683","[Quagmirran's Eye]")</f>
        <v>[Quagmirran's Eye]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">
      <c r="A42" t="s">
        <v>127</v>
      </c>
      <c r="B42" s="1">
        <v>46163</v>
      </c>
      <c r="C42" s="2">
        <v>0.87638888888888888</v>
      </c>
      <c r="D42" t="str">
        <f>HYPERLINK("https://tbc.wowhead.com/item=30055","[Schulterpolster des Fremden]")</f>
        <v>[Schulterpolster des Fremden]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25</v>
      </c>
      <c r="K42" t="s">
        <v>129</v>
      </c>
      <c r="L42" t="str">
        <f>HYPERLINK("https://tbc.wowhead.com/item=29023","[Schulterplatten des Kriegshetzers]")</f>
        <v>[Schulterplatten des Kriegshetzers]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">
      <c r="A43" t="s">
        <v>127</v>
      </c>
      <c r="B43" s="1">
        <v>46163</v>
      </c>
      <c r="C43" s="2">
        <v>0.89236111111111116</v>
      </c>
      <c r="D43" t="str">
        <f>HYPERLINK("https://tbc.wowhead.com/item=30246","[Gamaschen des bezwungenen Verteidigers]")</f>
        <v>[Gamaschen des bezwungenen Verteidigers]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25</v>
      </c>
      <c r="K43" t="s">
        <v>129</v>
      </c>
      <c r="L43" t="str">
        <f>HYPERLINK("https://tbc.wowhead.com/item=29022","[Schienbeinschützer des Kriegshetzers]")</f>
        <v>[Schienbeinschützer des Kriegshetzers]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">
      <c r="A44" t="s">
        <v>131</v>
      </c>
      <c r="B44" s="1">
        <v>46163</v>
      </c>
      <c r="C44" s="2">
        <v>0.89236111111111116</v>
      </c>
      <c r="D44" t="str">
        <f>HYPERLINK("https://tbc.wowhead.com/item=30246","[Gamaschen des bezwungenen Verteidigers]")</f>
        <v>[Gamaschen des bezwungenen Verteidigers]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25</v>
      </c>
      <c r="K44" t="s">
        <v>129</v>
      </c>
      <c r="L44" t="str">
        <f>HYPERLINK("https://tbc.wowhead.com/item=24359","[Fürstliche Herrschaftgamaschen]")</f>
        <v>[Fürstliche Herrschaftgamaschen]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">
      <c r="A45" t="s">
        <v>29</v>
      </c>
      <c r="B45" s="1">
        <v>46163</v>
      </c>
      <c r="C45" s="2">
        <v>0.88055555555555554</v>
      </c>
      <c r="D45" t="str">
        <f>HYPERLINK("https://tbc.wowhead.com/item=30240","[Handschuhe des bezwungenen Verteidigers]")</f>
        <v>[Handschuhe des bezwungenen Verteidigers]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25</v>
      </c>
      <c r="K45" t="s">
        <v>129</v>
      </c>
      <c r="L45" t="str">
        <f>HYPERLINK("https://tbc.wowhead.com/item=28506","[Handschuhe der geschickten Manipulation]")</f>
        <v>[Handschuhe der geschickten Manipulation]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">
      <c r="A46" t="s">
        <v>56</v>
      </c>
      <c r="B46" s="1">
        <v>46163</v>
      </c>
      <c r="C46" s="2">
        <v>0.87916666666666665</v>
      </c>
      <c r="D46" t="str">
        <f>HYPERLINK("https://tbc.wowhead.com/item=30099","[Ausgefranster Strick des Ertrunkenen]")</f>
        <v>[Ausgefranster Strick des Ertrunkenen]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25</v>
      </c>
      <c r="K46" t="s">
        <v>129</v>
      </c>
      <c r="L46" t="str">
        <f>HYPERLINK("https://tbc.wowhead.com/item=30022","[Anhänger des Gefahrvollen]")</f>
        <v>[Anhänger des Gefahrvollen]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">
      <c r="A47" t="s">
        <v>56</v>
      </c>
      <c r="B47" s="1">
        <v>46163</v>
      </c>
      <c r="C47" s="2">
        <v>0.88055555555555554</v>
      </c>
      <c r="D47" t="str">
        <f>HYPERLINK("https://tbc.wowhead.com/item=30096","[Gurt des Unverwundbaren]")</f>
        <v>[Gurt des Unverwundbaren]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25</v>
      </c>
      <c r="K47" t="s">
        <v>129</v>
      </c>
      <c r="L47" t="str">
        <f>HYPERLINK("https://tbc.wowhead.com/item=28385","[Plattengürtel des Kriegsherren]")</f>
        <v>[Plattengürtel des Kriegsherren]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">
      <c r="A48" t="s">
        <v>73</v>
      </c>
      <c r="B48" s="1">
        <v>46163</v>
      </c>
      <c r="C48" s="2">
        <v>0.87986111111111109</v>
      </c>
      <c r="D48" t="str">
        <f>HYPERLINK("https://tbc.wowhead.com/item=30239","[Handschuhe des bezwungenen Champions]")</f>
        <v>[Handschuhe des bezwungenen Champions]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25</v>
      </c>
      <c r="K48" t="s">
        <v>129</v>
      </c>
      <c r="L48" t="str">
        <f>HYPERLINK("https://tbc.wowhead.com/item=28507","[Handlappen des Gedankenflusses]")</f>
        <v>[Handlappen des Gedankenflusses]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">
      <c r="A49" t="s">
        <v>78</v>
      </c>
      <c r="B49" s="1">
        <v>46163</v>
      </c>
      <c r="C49" s="2">
        <v>0.89444444444444449</v>
      </c>
      <c r="D49" t="str">
        <f>HYPERLINK("https://tbc.wowhead.com/item=30079","[Schulterpolster der Illidari]")</f>
        <v>[Schulterpolster der Illidari]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25</v>
      </c>
      <c r="K49" t="s">
        <v>129</v>
      </c>
      <c r="L49" t="str">
        <f>HYPERLINK("https://tbc.wowhead.com/item=29095","[Malornes Schulterstücke]")</f>
        <v>[Malornes Schulterstücke]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">
      <c r="A50" t="s">
        <v>84</v>
      </c>
      <c r="B50" s="1">
        <v>46163</v>
      </c>
      <c r="C50" s="2">
        <v>0.87708333333333333</v>
      </c>
      <c r="D50" t="str">
        <f>HYPERLINK("https://tbc.wowhead.com/item=33054","[Das Siegel von Danzalar]")</f>
        <v>[Das Siegel von Danzalar]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25</v>
      </c>
      <c r="K50" t="s">
        <v>129</v>
      </c>
      <c r="L50" t="str">
        <f>HYPERLINK("https://tbc.wowhead.com/item=29126","[Siegel des Sehers]")</f>
        <v>[Siegel des Sehers]</v>
      </c>
      <c r="M50" t="str">
        <f>HYPERLINK("https://tbc.wowhead.com/item=29172","[Ashyens Gabe]")</f>
        <v>[Ashyens Gabe]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">
      <c r="A51" t="s">
        <v>87</v>
      </c>
      <c r="B51" s="1">
        <v>46163</v>
      </c>
      <c r="C51" s="2">
        <v>0.89444444444444449</v>
      </c>
      <c r="D51" t="str">
        <f>HYPERLINK("https://tbc.wowhead.com/item=30082","[Kralle von Azshara]")</f>
        <v>[Kralle von Azshara]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25</v>
      </c>
      <c r="K51" t="s">
        <v>129</v>
      </c>
      <c r="L51" t="str">
        <f>HYPERLINK("https://tbc.wowhead.com/item=28438","[Drachenmal]")</f>
        <v>[Drachenmal]</v>
      </c>
      <c r="M51" t="str">
        <f>HYPERLINK("https://tbc.wowhead.com/item=29924","[Netherbann]")</f>
        <v>[Netherbann]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">
      <c r="A52" t="s">
        <v>94</v>
      </c>
      <c r="B52" s="1">
        <v>46163</v>
      </c>
      <c r="C52" s="2">
        <v>0.87986111111111109</v>
      </c>
      <c r="D52" t="str">
        <f>HYPERLINK("https://tbc.wowhead.com/item=30241","[Handschuhe des bezwungenen Helden]")</f>
        <v>[Handschuhe des bezwungenen Helden]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25</v>
      </c>
      <c r="K52" t="s">
        <v>129</v>
      </c>
      <c r="L52" t="str">
        <f>HYPERLINK("https://tbc.wowhead.com/item=29080","[Handschuhe der Aldor]")</f>
        <v>[Handschuhe der Aldor]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">
      <c r="A53" t="s">
        <v>125</v>
      </c>
      <c r="B53" s="1">
        <v>46163</v>
      </c>
      <c r="C53" s="2">
        <v>0.87708333333333333</v>
      </c>
      <c r="D53" t="str">
        <f>HYPERLINK("https://tbc.wowhead.com/item=32516","[Wickeltücher der Läuterung]")</f>
        <v>[Wickeltücher der Läuterung]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25</v>
      </c>
      <c r="K53" t="s">
        <v>129</v>
      </c>
      <c r="L53" t="str">
        <f>HYPERLINK("https://tbc.wowhead.com/item=28511","[Bänder des Innewohnens]")</f>
        <v>[Bänder des Innewohnens]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">
      <c r="A54" t="s">
        <v>96</v>
      </c>
      <c r="B54" s="1">
        <v>46163</v>
      </c>
      <c r="C54" s="2">
        <v>0.88194444444444442</v>
      </c>
      <c r="D54" t="str">
        <f>HYPERLINK("https://tbc.wowhead.com/item=30247","[Gamaschen des bezwungenen Helden]")</f>
        <v>[Gamaschen des bezwungenen Helden]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25</v>
      </c>
      <c r="K54" t="s">
        <v>129</v>
      </c>
      <c r="L54" t="str">
        <f>HYPERLINK("https://tbc.wowhead.com/item=24262","[Hose des Zauberschlags]")</f>
        <v>[Hose des Zauberschlags]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">
      <c r="A55" t="s">
        <v>143</v>
      </c>
      <c r="B55" s="1">
        <v>46163</v>
      </c>
      <c r="C55" s="2">
        <v>0.87708333333333333</v>
      </c>
      <c r="D55" t="str">
        <f>HYPERLINK("https://tbc.wowhead.com/item=30060","[Stiefel des mühelosen Kampfes]")</f>
        <v>[Stiefel des mühelosen Kampfes]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25</v>
      </c>
      <c r="K55" t="s">
        <v>129</v>
      </c>
      <c r="L55" t="str">
        <f>HYPERLINK("https://tbc.wowhead.com/item=30674","[Zierhuts verschwundene Treter]")</f>
        <v>[Zierhuts verschwundene Treter]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">
      <c r="A56" t="s">
        <v>145</v>
      </c>
      <c r="B56" s="1">
        <v>46163</v>
      </c>
      <c r="C56" s="2">
        <v>0.89444444444444449</v>
      </c>
      <c r="D56" t="str">
        <f>HYPERLINK("https://tbc.wowhead.com/item=30084","[Schulterstücke der Argentumschildwache]")</f>
        <v>[Schulterstücke der Argentumschildwache]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25</v>
      </c>
      <c r="K56" t="s">
        <v>129</v>
      </c>
      <c r="L56" t="str">
        <f>HYPERLINK("https://tbc.wowhead.com/item=27775","[Geheiligte Schulterstücke]")</f>
        <v>[Geheiligte Schulterstücke]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">
      <c r="A57" t="s">
        <v>131</v>
      </c>
      <c r="B57" s="1">
        <v>46167</v>
      </c>
      <c r="C57" s="2">
        <v>0.89236111111111116</v>
      </c>
      <c r="D57" t="str">
        <f>HYPERLINK("https://tbc.wowhead.com/item=29992","[Royal Cloak of the Sunstriders]")</f>
        <v>[Royal Cloak of the Sunstriders]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tr">
        <f>HYPERLINK("https://tbc.wowhead.com/item=25039","[Farseer Cloak of Shadow Wrath]")</f>
        <v>[Farseer Cloak of Shadow Wrath]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">
      <c r="A58" t="s">
        <v>99</v>
      </c>
      <c r="B58" s="1">
        <v>46167</v>
      </c>
      <c r="C58" s="2">
        <v>0.89583333333333337</v>
      </c>
      <c r="D58" t="str">
        <f>HYPERLINK("https://tbc.wowhead.com/item=29984","[Girdle of Zaetar]")</f>
        <v>[Girdle of Zaetar]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102</v>
      </c>
      <c r="L58" t="str">
        <f>HYPERLINK("https://tbc.wowhead.com/item=28652","[Cincture of Will]")</f>
        <v>[Cincture of Will]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">
      <c r="A59" t="s">
        <v>21</v>
      </c>
      <c r="B59" s="1">
        <v>46167</v>
      </c>
      <c r="C59" s="2">
        <v>0.89375000000000004</v>
      </c>
      <c r="D59" t="str">
        <f>HYPERLINK("https://tbc.wowhead.com/item=30238","[Chestguard of the Vanquished Hero]")</f>
        <v>[Chestguard of the Vanquished Hero]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tr">
        <f>HYPERLINK("https://tbc.wowhead.com/item=28228","[Beast Lord Cuirass]")</f>
        <v>[Beast Lord Cuirass]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">
      <c r="A60" t="s">
        <v>21</v>
      </c>
      <c r="B60" s="1">
        <v>46167</v>
      </c>
      <c r="C60" s="2">
        <v>0.90069444444444446</v>
      </c>
      <c r="D60" t="str">
        <f>HYPERLINK("https://tbc.wowhead.com/item=29951","[Star-Strider Boots]")</f>
        <v>[Star-Strider Boots]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102</v>
      </c>
      <c r="L60" t="str">
        <f>HYPERLINK("https://tbc.wowhead.com/item=28545","[Edgewalker Longboots]")</f>
        <v>[Edgewalker Longboots]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">
      <c r="A61" t="s">
        <v>30</v>
      </c>
      <c r="B61" s="1">
        <v>46167</v>
      </c>
      <c r="C61" s="2">
        <v>0.89513888888888893</v>
      </c>
      <c r="D61" t="str">
        <f>HYPERLINK("https://tbc.wowhead.com/item=29947","[Gloves of the Searing Grip]")</f>
        <v>[Gloves of the Searing Grip]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102</v>
      </c>
      <c r="L61" t="str">
        <f>HYPERLINK("https://tbc.wowhead.com/item=30644","[Grips of Deftness]")</f>
        <v>[Grips of Deftness]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">
      <c r="A62" t="s">
        <v>47</v>
      </c>
      <c r="B62" s="1">
        <v>46167</v>
      </c>
      <c r="C62" s="2">
        <v>0.89166666666666672</v>
      </c>
      <c r="D62" t="str">
        <f>HYPERLINK("https://tbc.wowhead.com/item=30249","[Pauldrons of the Vanquished Defender]")</f>
        <v>[Pauldrons of the Vanquished Defender]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102</v>
      </c>
      <c r="L62" t="str">
        <f>HYPERLINK("https://tbc.wowhead.com/item=29054","[Light-Mantle of the Incarnate]")</f>
        <v>[Light-Mantle of the Incarnate]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">
      <c r="A63" t="s">
        <v>155</v>
      </c>
      <c r="B63" s="1">
        <v>46167</v>
      </c>
      <c r="C63" s="2">
        <v>0.89375000000000004</v>
      </c>
      <c r="D63" t="str">
        <f>HYPERLINK("https://tbc.wowhead.com/item=30250","[Pauldrons of the Vanquished Hero]")</f>
        <v>[Pauldrons of the Vanquished Hero]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102</v>
      </c>
      <c r="L63" t="str">
        <f>HYPERLINK("https://tbc.wowhead.com/item=25854","[Gladiator's Silk Amice]")</f>
        <v>[Gladiator's Silk Amice]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">
      <c r="A64" t="s">
        <v>155</v>
      </c>
      <c r="B64" s="1">
        <v>46167</v>
      </c>
      <c r="C64" s="2">
        <v>0.89375000000000004</v>
      </c>
      <c r="D64" t="str">
        <f>HYPERLINK("https://tbc.wowhead.com/item=30238","[Chestguard of the Vanquished Hero]")</f>
        <v>[Chestguard of the Vanquished Hero]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tr">
        <f>HYPERLINK("https://tbc.wowhead.com/item=29077","[Vestments of the Aldor]")</f>
        <v>[Vestments of the Aldor]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">
      <c r="A65" t="s">
        <v>155</v>
      </c>
      <c r="B65" s="1">
        <v>46167</v>
      </c>
      <c r="C65" s="2">
        <v>0.9</v>
      </c>
      <c r="D65" t="str">
        <f>HYPERLINK("https://tbc.wowhead.com/item=29972","[Trousers of the Astromancer]")</f>
        <v>[Trousers of the Astromancer]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102</v>
      </c>
      <c r="L65" t="str">
        <f>HYPERLINK("https://tbc.wowhead.com/item=29078","[Legwraps of the Aldor]")</f>
        <v>[Legwraps of the Aldor]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">
      <c r="A66" t="s">
        <v>29</v>
      </c>
      <c r="B66" s="1">
        <v>46167</v>
      </c>
      <c r="C66" s="2">
        <v>0.89097222222222228</v>
      </c>
      <c r="D66" t="str">
        <f>HYPERLINK("https://tbc.wowhead.com/item=30249","[Pauldrons of the Vanquished Defender]")</f>
        <v>[Pauldrons of the Vanquished Defender]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102</v>
      </c>
      <c r="L66" t="str">
        <f>HYPERLINK("https://tbc.wowhead.com/item=29100","[Mantle of Malorne]")</f>
        <v>[Mantle of Malorne]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">
      <c r="A67" t="s">
        <v>56</v>
      </c>
      <c r="B67" s="1">
        <v>46167</v>
      </c>
      <c r="C67" s="2">
        <v>0.8930555555555556</v>
      </c>
      <c r="D67" t="str">
        <f>HYPERLINK("https://tbc.wowhead.com/item=30237","[Chestguard of the Vanquished Defender]")</f>
        <v>[Chestguard of the Vanquished Defender]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tr">
        <f>HYPERLINK("https://tbc.wowhead.com/item=29019","[Warbringer Breastplate]")</f>
        <v>[Warbringer Breastplate]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">
      <c r="A68" t="s">
        <v>73</v>
      </c>
      <c r="B68" s="1">
        <v>46167</v>
      </c>
      <c r="C68" s="2">
        <v>0.89722222222222225</v>
      </c>
      <c r="D68" t="str">
        <f>HYPERLINK("https://tbc.wowhead.com/item=29920","[Phoenix-Ring of Rebirth]")</f>
        <v>[Phoenix-Ring of Rebirth]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102</v>
      </c>
      <c r="L68" t="str">
        <f>HYPERLINK("https://tbc.wowhead.com/item=28394","[Ryngo's Band of Ingenuity]")</f>
        <v>[Ryngo's Band of Ingenuity]</v>
      </c>
      <c r="M68" t="str">
        <f>HYPERLINK("https://tbc.wowhead.com/item=29287","[Violet Signet of the Archmage]")</f>
        <v>[Violet Signet of the Archmage]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">
      <c r="A69" t="s">
        <v>159</v>
      </c>
      <c r="B69" s="1">
        <v>46167</v>
      </c>
      <c r="C69" s="2">
        <v>0.90208333333333335</v>
      </c>
      <c r="D69" t="str">
        <f>HYPERLINK("https://tbc.wowhead.com/item=30026","[Bands of the Celestial Archer]")</f>
        <v>[Bands of the Celestial Archer]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102</v>
      </c>
      <c r="L69" t="str">
        <f>HYPERLINK("https://tbc.wowhead.com/item=28454","[Stalker's War Bands]")</f>
        <v>[Stalker's War Bands]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">
      <c r="A70" t="s">
        <v>84</v>
      </c>
      <c r="B70" s="1">
        <v>46167</v>
      </c>
      <c r="C70" s="2">
        <v>0.9</v>
      </c>
      <c r="D70" t="str">
        <f>HYPERLINK("https://tbc.wowhead.com/item=30447","[Tome of Fiery Redemption]")</f>
        <v>[Tome of Fiery Redemption]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102</v>
      </c>
      <c r="L70" t="str">
        <f>HYPERLINK("https://tbc.wowhead.com/item=29370","[Icon of the Silver Crescent]")</f>
        <v>[Icon of the Silver Crescent]</v>
      </c>
      <c r="M70" t="str">
        <f>HYPERLINK("https://tbc.wowhead.com/item=27529","[Figurine of the Colossus]")</f>
        <v>[Figurine of the Colossus]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">
      <c r="A71" t="s">
        <v>84</v>
      </c>
      <c r="B71" s="1">
        <v>46167</v>
      </c>
      <c r="C71" s="2">
        <v>0.90069444444444446</v>
      </c>
      <c r="D71" t="str">
        <f>HYPERLINK("https://tbc.wowhead.com/item=32405","[Verdant Sphere]")</f>
        <v>[Verdant Sphere]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">
      <c r="A72" t="s">
        <v>165</v>
      </c>
      <c r="B72" s="1">
        <v>46167</v>
      </c>
      <c r="C72" s="2">
        <v>0.89722222222222225</v>
      </c>
      <c r="D72" t="str">
        <f>HYPERLINK("https://tbc.wowhead.com/item=29962","[Heartrazor]")</f>
        <v>[Heartrazor]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102</v>
      </c>
      <c r="L72" t="str">
        <f>HYPERLINK("https://tbc.wowhead.com/item=28295","[Gladiator's Slicer]")</f>
        <v>[Gladiator's Slicer]</v>
      </c>
      <c r="M72" t="str">
        <f>HYPERLINK("https://tbc.wowhead.com/item=28189","[Latro's Shifting Sword]")</f>
        <v>[Latro's Shifting Sword]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">
      <c r="A73" t="s">
        <v>145</v>
      </c>
      <c r="B73" s="1">
        <v>46167</v>
      </c>
      <c r="C73" s="2">
        <v>0.89444444444444449</v>
      </c>
      <c r="D73" t="str">
        <f>HYPERLINK("https://tbc.wowhead.com/item=30029","[Bark-Gloves of Ancient Wisdom]")</f>
        <v>[Bark-Gloves of Ancient Wisdom]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102</v>
      </c>
      <c r="L73" t="str">
        <f>HYPERLINK("https://tbc.wowhead.com/item=28521","[Mitts of the Treemender]")</f>
        <v>[Mitts of the Treemender]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">
      <c r="A74" t="s">
        <v>70</v>
      </c>
      <c r="B74" s="1">
        <v>46170</v>
      </c>
      <c r="C74" s="2">
        <v>0.84583333333333333</v>
      </c>
      <c r="D74" t="str">
        <f>HYPERLINK("https://tbc.wowhead.com/item=30247","[Gamaschen des bezwungenen Helden]")</f>
        <v>[Gamaschen des bezwungenen Helden]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25</v>
      </c>
      <c r="K74" t="s">
        <v>34</v>
      </c>
      <c r="L74" t="str">
        <f>HYPERLINK("https://tbc.wowhead.com/item=24262","[Hose des Zauberschlags]")</f>
        <v>[Hose des Zauberschlags]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">
      <c r="A75" t="s">
        <v>169</v>
      </c>
      <c r="B75" s="1">
        <v>46170</v>
      </c>
      <c r="C75" s="2">
        <v>0.85833333333333328</v>
      </c>
      <c r="D75" t="str">
        <f>HYPERLINK("https://tbc.wowhead.com/item=30075","[Rauer Brustharnisch der Uralten]")</f>
        <v>[Rauer Brustharnisch der Uralten]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25</v>
      </c>
      <c r="K75" t="s">
        <v>129</v>
      </c>
      <c r="L75" t="str">
        <f>HYPERLINK("https://tbc.wowhead.com/item=28600","[Wams des Steingeästs]")</f>
        <v>[Wams des Steingeästs]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">
      <c r="A76" t="s">
        <v>169</v>
      </c>
      <c r="B76" s="1">
        <v>46170</v>
      </c>
      <c r="C76" s="2">
        <v>0.89444444444444449</v>
      </c>
      <c r="D76" t="str">
        <f>HYPERLINK("https://tbc.wowhead.com/item=28822","[Zahn von Gruul]")</f>
        <v>[Zahn von Gruul]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172</v>
      </c>
      <c r="K76" t="s">
        <v>173</v>
      </c>
      <c r="L76" t="str">
        <f>HYPERLINK("https://tbc.wowhead.com/item=29374","[Halskette der ewigen Hoffnung]")</f>
        <v>[Halskette der ewigen Hoffnung]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">
      <c r="A77" t="s">
        <v>105</v>
      </c>
      <c r="B77" s="1">
        <v>46170</v>
      </c>
      <c r="C77" s="2">
        <v>0.87777777777777777</v>
      </c>
      <c r="D77" t="str">
        <f>HYPERLINK("https://tbc.wowhead.com/item=30244","[Helm des bezwungenen Helden]")</f>
        <v>[Helm des bezwungenen Helden]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25</v>
      </c>
      <c r="K77" t="s">
        <v>53</v>
      </c>
      <c r="L77" t="str">
        <f>HYPERLINK("https://tbc.wowhead.com/item=28275","[Helm des Wildtierfürsten]")</f>
        <v>[Helm des Wildtierfürsten]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">
      <c r="A78" t="s">
        <v>105</v>
      </c>
      <c r="B78" s="1">
        <v>46170</v>
      </c>
      <c r="C78" s="2">
        <v>0.89444444444444449</v>
      </c>
      <c r="D78" t="str">
        <f>HYPERLINK("https://tbc.wowhead.com/item=29762","[Schulterstücke des gefallenen Helden]")</f>
        <v>[Schulterstücke des gefallenen Helden]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172</v>
      </c>
      <c r="K78" t="s">
        <v>173</v>
      </c>
      <c r="L78" t="str">
        <f>HYPERLINK("https://tbc.wowhead.com/item=27801","[Mantelung des Wildtierfürsten]")</f>
        <v>[Mantelung des Wildtierfürsten]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">
      <c r="A79" t="s">
        <v>105</v>
      </c>
      <c r="B79" s="1">
        <v>46170</v>
      </c>
      <c r="C79" s="2">
        <v>0.89444444444444449</v>
      </c>
      <c r="D79" t="str">
        <f>HYPERLINK("https://tbc.wowhead.com/item=29765","[Gamaschen des gefallenen Helden]")</f>
        <v>[Gamaschen des gefallenen Helden]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172</v>
      </c>
      <c r="K79" t="s">
        <v>173</v>
      </c>
      <c r="L79" t="str">
        <f>HYPERLINK("https://tbc.wowhead.com/item=27874","[Gamaschen des Wildtierfürsten]")</f>
        <v>[Gamaschen des Wildtierfürsten]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">
      <c r="A80" t="s">
        <v>105</v>
      </c>
      <c r="B80" s="1">
        <v>46170</v>
      </c>
      <c r="C80" s="2">
        <v>0.90555555555555556</v>
      </c>
      <c r="D80" t="str">
        <f>HYPERLINK("https://tbc.wowhead.com/item=29765","[Gamaschen des gefallenen Helden]")</f>
        <v>[Gamaschen des gefallenen Helden]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176</v>
      </c>
      <c r="K80" t="s">
        <v>177</v>
      </c>
      <c r="L80" t="str">
        <f>HYPERLINK("https://tbc.wowhead.com/item=27874","[Gamaschen des Wildtierfürsten]")</f>
        <v>[Gamaschen des Wildtierfürsten]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">
      <c r="A81" t="s">
        <v>21</v>
      </c>
      <c r="B81" s="1">
        <v>46170</v>
      </c>
      <c r="C81" s="2">
        <v>0.87777777777777777</v>
      </c>
      <c r="D81" t="str">
        <f>HYPERLINK("https://tbc.wowhead.com/item=30244","[Helm des bezwungenen Helden]")</f>
        <v>[Helm des bezwungenen Helden]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25</v>
      </c>
      <c r="K81" t="s">
        <v>53</v>
      </c>
      <c r="L81" t="str">
        <f>HYPERLINK("https://tbc.wowhead.com/item=28275","[Helm des Wildtierfürsten]")</f>
        <v>[Helm des Wildtierfürsten]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">
      <c r="A82" t="s">
        <v>159</v>
      </c>
      <c r="B82" s="1">
        <v>46170</v>
      </c>
      <c r="C82" s="2">
        <v>0.87777777777777777</v>
      </c>
      <c r="D82" t="str">
        <f>HYPERLINK("https://tbc.wowhead.com/item=30242","[Helm des bezwungenen Champions]")</f>
        <v>[Helm des bezwungenen Champions]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25</v>
      </c>
      <c r="K82" t="s">
        <v>53</v>
      </c>
      <c r="L82" t="str">
        <f>HYPERLINK("https://tbc.wowhead.com/item=28732","[Gugel der Herausforderung]")</f>
        <v>[Gugel der Herausforderung]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">
      <c r="A83" t="s">
        <v>78</v>
      </c>
      <c r="B83" s="1">
        <v>46170</v>
      </c>
      <c r="C83" s="2">
        <v>0.81527777777777777</v>
      </c>
      <c r="D83" t="str">
        <f>HYPERLINK("https://tbc.wowhead.com/item=30060","[Stiefel des mühelosen Kampfes]")</f>
        <v>[Stiefel des mühelosen Kampfes]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25</v>
      </c>
      <c r="K83" t="s">
        <v>178</v>
      </c>
      <c r="L83" t="str">
        <f>HYPERLINK("https://tbc.wowhead.com/item=29258","[Stiefel der astralen Manipulation]")</f>
        <v>[Stiefel der astralen Manipulation]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">
      <c r="A84" t="s">
        <v>78</v>
      </c>
      <c r="B84" s="1">
        <v>46170</v>
      </c>
      <c r="C84" s="2">
        <v>0.84513888888888888</v>
      </c>
      <c r="D84" t="str">
        <f>HYPERLINK("https://tbc.wowhead.com/item=30626","[Sextant der unsteten Strömung]")</f>
        <v>[Sextant der unsteten Strömung]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25</v>
      </c>
      <c r="K84" t="s">
        <v>34</v>
      </c>
      <c r="L84" t="str">
        <f>HYPERLINK("https://tbc.wowhead.com/item=29370","[Ikone des Silberwappens]")</f>
        <v>[Ikone des Silberwappens]</v>
      </c>
      <c r="M84" t="str">
        <f>HYPERLINK("https://tbc.wowhead.com/item=13503","[Alchimistenstein]")</f>
        <v>[Alchimistenstein]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">
      <c r="A85" t="s">
        <v>78</v>
      </c>
      <c r="B85" s="1">
        <v>46170</v>
      </c>
      <c r="C85" s="2">
        <v>0.90555555555555556</v>
      </c>
      <c r="D85" t="str">
        <f>HYPERLINK("https://tbc.wowhead.com/item=29753","[Brustschutz des gefallenen Verteidigers]")</f>
        <v>[Brustschutz des gefallenen Verteidigers]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176</v>
      </c>
      <c r="K85" t="s">
        <v>177</v>
      </c>
      <c r="L85" t="str">
        <f>HYPERLINK("https://tbc.wowhead.com/item=28602","[Robe der Ahnenschriften]")</f>
        <v>[Robe der Ahnenschriften]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">
      <c r="A86" t="s">
        <v>78</v>
      </c>
      <c r="B86" s="1">
        <v>46170</v>
      </c>
      <c r="C86" s="2">
        <v>0.90625</v>
      </c>
      <c r="D86" t="str">
        <f>HYPERLINK("https://tbc.wowhead.com/item=32386","[Magtheridons Kopf]")</f>
        <v>[Magtheridons Kopf]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176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">
      <c r="A87" t="s">
        <v>47</v>
      </c>
      <c r="B87" s="1">
        <v>46170</v>
      </c>
      <c r="C87" s="2">
        <v>0.87986111111111109</v>
      </c>
      <c r="D87" t="str">
        <f>HYPERLINK("https://tbc.wowhead.com/item=30108","[Szepter der Lichtertiefe]")</f>
        <v>[Szepter der Lichtertiefe]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25</v>
      </c>
      <c r="K87" t="s">
        <v>53</v>
      </c>
      <c r="L87" t="str">
        <f>HYPERLINK("https://tbc.wowhead.com/item=28771","[Gerechtigkeit des Lichts]")</f>
        <v>[Gerechtigkeit des Lichts]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">
      <c r="A88" t="s">
        <v>47</v>
      </c>
      <c r="B88" s="1">
        <v>46170</v>
      </c>
      <c r="C88" s="2">
        <v>0.90555555555555556</v>
      </c>
      <c r="D88" t="str">
        <f>HYPERLINK("https://tbc.wowhead.com/item=29753","[Brustschutz des gefallenen Verteidigers]")</f>
        <v>[Brustschutz des gefallenen Verteidigers]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176</v>
      </c>
      <c r="K88" t="s">
        <v>177</v>
      </c>
      <c r="L88" t="str">
        <f>HYPERLINK("https://tbc.wowhead.com/item=21875","[Urmondstoffrobe]")</f>
        <v>[Urmondstoffrobe]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">
      <c r="A89" t="s">
        <v>155</v>
      </c>
      <c r="B89" s="1">
        <v>46170</v>
      </c>
      <c r="C89" s="2">
        <v>0.89444444444444449</v>
      </c>
      <c r="D89" t="str">
        <f>HYPERLINK("https://tbc.wowhead.com/item=28799","[Gürtel der göttlichen Eingebung]")</f>
        <v>[Gürtel der göttlichen Eingebung]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172</v>
      </c>
      <c r="K89" t="s">
        <v>173</v>
      </c>
      <c r="L89" t="str">
        <f>HYPERLINK("https://tbc.wowhead.com/item=27742","[Gurt des Magiezorns]")</f>
        <v>[Gurt des Magiezorns]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">
      <c r="A90" t="s">
        <v>186</v>
      </c>
      <c r="B90" s="1">
        <v>46170</v>
      </c>
      <c r="C90" s="2">
        <v>0.89444444444444449</v>
      </c>
      <c r="D90" t="str">
        <f>HYPERLINK("https://tbc.wowhead.com/item=29764","[Schulterstücke des gefallenen Verteidigers]")</f>
        <v>[Schulterstücke des gefallenen Verteidigers]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172</v>
      </c>
      <c r="K90" t="s">
        <v>173</v>
      </c>
      <c r="L90" t="str">
        <f>HYPERLINK("https://tbc.wowhead.com/item=33173","[Zornstahlschultern]")</f>
        <v>[Zornstahlschultern]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">
      <c r="A91" t="s">
        <v>186</v>
      </c>
      <c r="B91" s="1">
        <v>46170</v>
      </c>
      <c r="C91" s="2">
        <v>0.90625</v>
      </c>
      <c r="D91" t="str">
        <f>HYPERLINK("https://tbc.wowhead.com/item=28774","[Gleve der Grube]")</f>
        <v>[Gleve der Grube]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176</v>
      </c>
      <c r="K91" t="s">
        <v>177</v>
      </c>
      <c r="L91" t="str">
        <f>HYPERLINK("https://tbc.wowhead.com/item=29124","[Glanz des Verteidigers]")</f>
        <v>[Glanz des Verteidigers]</v>
      </c>
      <c r="M91" t="str">
        <f>HYPERLINK("https://tbc.wowhead.com/item=28572","[Klinge des Unerwiderten]")</f>
        <v>[Klinge des Unerwiderten]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">
      <c r="A92" t="s">
        <v>84</v>
      </c>
      <c r="B92" s="1">
        <v>46170</v>
      </c>
      <c r="C92" s="2">
        <v>0.80208333333333337</v>
      </c>
      <c r="D92" t="str">
        <f>HYPERLINK("https://tbc.wowhead.com/item=30629","[Skarabäus der Verdrängung]")</f>
        <v>[Skarabäus der Verdrängung]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25</v>
      </c>
      <c r="K92" t="s">
        <v>191</v>
      </c>
      <c r="L92" t="str">
        <f>HYPERLINK("https://tbc.wowhead.com/item=29370","[Ikone des Silberwappens]")</f>
        <v>[Ikone des Silberwappens]</v>
      </c>
      <c r="M92" t="str">
        <f>HYPERLINK("https://tbc.wowhead.com/item=27529","[Figur des Kolosses]")</f>
        <v>[Figur des Kolosses]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">
      <c r="A93" t="s">
        <v>29</v>
      </c>
      <c r="B93" s="1">
        <v>46170</v>
      </c>
      <c r="C93" s="2">
        <v>0.84444444444444444</v>
      </c>
      <c r="D93" t="str">
        <f>HYPERLINK("https://tbc.wowhead.com/item=30027","[Stiefel des endlosen Mutes]")</f>
        <v>[Stiefel des endlosen Mutes]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25</v>
      </c>
      <c r="K93" t="s">
        <v>26</v>
      </c>
      <c r="L93" t="str">
        <f>HYPERLINK("https://tbc.wowhead.com/item=32790","[Lederstiefel des Veteranen]")</f>
        <v>[Lederstiefel des Veteranen]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">
      <c r="A94" t="s">
        <v>29</v>
      </c>
      <c r="B94" s="1">
        <v>46170</v>
      </c>
      <c r="C94" s="2">
        <v>0.84444444444444444</v>
      </c>
      <c r="D94" t="str">
        <f>HYPERLINK("https://tbc.wowhead.com/item=30027","[Stiefel des endlosen Mutes]")</f>
        <v>[Stiefel des endlosen Mutes]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25</v>
      </c>
      <c r="K94" t="s">
        <v>26</v>
      </c>
      <c r="L94" t="str">
        <f>HYPERLINK("https://tbc.wowhead.com/item=32790","[Lederstiefel des Veteranen]")</f>
        <v>[Lederstiefel des Veteranen]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">
      <c r="A95" t="s">
        <v>29</v>
      </c>
      <c r="B95" s="1">
        <v>46170</v>
      </c>
      <c r="C95" s="2">
        <v>0.84583333333333333</v>
      </c>
      <c r="D95" t="str">
        <f>HYPERLINK("https://tbc.wowhead.com/item=30246","[Gamaschen des bezwungenen Verteidigers]")</f>
        <v>[Gamaschen des bezwungenen Verteidigers]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25</v>
      </c>
      <c r="K95" t="s">
        <v>34</v>
      </c>
      <c r="L95" t="str">
        <f>HYPERLINK("https://tbc.wowhead.com/item=29099","[Malornes Schienbeinschützer]")</f>
        <v>[Malornes Schienbeinschützer]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">
      <c r="A96" t="s">
        <v>29</v>
      </c>
      <c r="B96" s="1">
        <v>46170</v>
      </c>
      <c r="C96" s="2">
        <v>0.90486111111111112</v>
      </c>
      <c r="D96" t="str">
        <f>HYPERLINK("https://tbc.wowhead.com/item=29753","[Brustschutz des gefallenen Verteidigers]")</f>
        <v>[Brustschutz des gefallenen Verteidigers]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176</v>
      </c>
      <c r="K96" t="s">
        <v>177</v>
      </c>
      <c r="L96" t="str">
        <f>HYPERLINK("https://tbc.wowhead.com/item=29096","[Malornes Brustplatte]")</f>
        <v>[Malornes Brustplatte]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">
      <c r="A97" t="s">
        <v>98</v>
      </c>
      <c r="B97" s="1">
        <v>46170</v>
      </c>
      <c r="C97" s="2">
        <v>0.80208333333333337</v>
      </c>
      <c r="D97" t="str">
        <f>HYPERLINK("https://tbc.wowhead.com/item=30050","[Stiefel des sich wandelnden Alptraums]")</f>
        <v>[Stiefel des sich wandelnden Alptraums]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25</v>
      </c>
      <c r="K97" t="s">
        <v>191</v>
      </c>
      <c r="L97" t="str">
        <f>HYPERLINK("https://tbc.wowhead.com/item=27821","[Extravagante Stiefel der Bosheit]")</f>
        <v>[Extravagante Stiefel der Bosheit]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">
      <c r="A98" t="s">
        <v>56</v>
      </c>
      <c r="B98" s="1">
        <v>46170</v>
      </c>
      <c r="C98" s="2">
        <v>0.83680555555555558</v>
      </c>
      <c r="D98" t="str">
        <f>HYPERLINK("https://tbc.wowhead.com/item=30240","[Handschuhe des bezwungenen Verteidigers]")</f>
        <v>[Handschuhe des bezwungenen Verteidigers]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25</v>
      </c>
      <c r="K98" t="s">
        <v>26</v>
      </c>
      <c r="L98" t="str">
        <f>HYPERLINK("https://tbc.wowhead.com/item=30644","[Handschutz des Geschicks]")</f>
        <v>[Handschutz des Geschicks]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">
      <c r="A99" t="s">
        <v>56</v>
      </c>
      <c r="B99" s="1">
        <v>46170</v>
      </c>
      <c r="C99" s="2">
        <v>0.87916666666666665</v>
      </c>
      <c r="D99" t="str">
        <f>HYPERLINK("https://tbc.wowhead.com/item=30106","[Gürtel der hundert Tode]")</f>
        <v>[Gürtel der hundert Tode]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25</v>
      </c>
      <c r="K99" t="s">
        <v>53</v>
      </c>
      <c r="L99" t="str">
        <f>HYPERLINK("https://tbc.wowhead.com/item=28385","[Plattengürtel des Kriegsherren]")</f>
        <v>[Plattengürtel des Kriegsherren]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">
      <c r="A100" t="s">
        <v>56</v>
      </c>
      <c r="B100" s="1">
        <v>46170</v>
      </c>
      <c r="C100" s="2">
        <v>0.89097222222222228</v>
      </c>
      <c r="D100" t="str">
        <f>HYPERLINK("https://tbc.wowhead.com/item=28830","[Drachenwirbeltrophäe]")</f>
        <v>[Drachenwirbeltrophäe]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172</v>
      </c>
      <c r="K100" t="s">
        <v>173</v>
      </c>
      <c r="L100" t="str">
        <f>HYPERLINK("https://tbc.wowhead.com/item=28034","[Stundenglas des Entwirrers]")</f>
        <v>[Stundenglas des Entwirrers]</v>
      </c>
      <c r="M100" t="str">
        <f>HYPERLINK("https://tbc.wowhead.com/item=29383","[Kampfrauschbrosche]")</f>
        <v>[Kampfrauschbrosche]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">
      <c r="A101" t="s">
        <v>145</v>
      </c>
      <c r="B101" s="1">
        <v>46170</v>
      </c>
      <c r="C101" s="2">
        <v>0.81527777777777777</v>
      </c>
      <c r="D101" t="str">
        <f>HYPERLINK("https://tbc.wowhead.com/item=30063","[Buchband der absoluten Wahrheit]")</f>
        <v>[Buchband der absoluten Wahrheit]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25</v>
      </c>
      <c r="K101" t="s">
        <v>178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">
      <c r="A102" t="s">
        <v>145</v>
      </c>
      <c r="B102" s="1">
        <v>46170</v>
      </c>
      <c r="C102" s="2">
        <v>0.83680555555555558</v>
      </c>
      <c r="D102" t="str">
        <f>HYPERLINK("https://tbc.wowhead.com/item=30239","[Handschuhe des bezwungenen Champions]")</f>
        <v>[Handschuhe des bezwungenen Champions]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25</v>
      </c>
      <c r="K102" t="s">
        <v>26</v>
      </c>
      <c r="L102" t="str">
        <f>HYPERLINK("https://tbc.wowhead.com/item=28505","[Stulpen der erneuten Hoffnung]")</f>
        <v>[Stulpen der erneuten Hoffnung]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">
      <c r="A103" t="s">
        <v>145</v>
      </c>
      <c r="B103" s="1">
        <v>46170</v>
      </c>
      <c r="C103" s="2">
        <v>0.83680555555555558</v>
      </c>
      <c r="D103" t="str">
        <f>HYPERLINK("https://tbc.wowhead.com/item=30097","[Stachelige Korallenschulterpolster]")</f>
        <v>[Stachelige Korallenschulterpolster]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25</v>
      </c>
      <c r="K103" t="s">
        <v>26</v>
      </c>
      <c r="L103" t="str">
        <f>HYPERLINK("https://tbc.wowhead.com/item=30084","[Schulterstücke der Argentumschildwache]")</f>
        <v>[Schulterstücke der Argentumschildwache]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">
      <c r="A104" t="s">
        <v>145</v>
      </c>
      <c r="B104" s="1">
        <v>46170</v>
      </c>
      <c r="C104" s="2">
        <v>0.89444444444444449</v>
      </c>
      <c r="D104" t="str">
        <f>HYPERLINK("https://tbc.wowhead.com/item=29763","[Schulterstücke des gefallenen Champions]")</f>
        <v>[Schulterstücke des gefallenen Champions]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172</v>
      </c>
      <c r="K104" t="s">
        <v>173</v>
      </c>
      <c r="L104" t="str">
        <f>HYPERLINK("https://tbc.wowhead.com/item=30084","[Schulterstücke der Argentumschildwache]")</f>
        <v>[Schulterstücke der Argentumschildwache]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">
      <c r="A105" t="s">
        <v>145</v>
      </c>
      <c r="B105" s="1">
        <v>46170</v>
      </c>
      <c r="C105" s="2">
        <v>0.89444444444444449</v>
      </c>
      <c r="D105" t="str">
        <f>HYPERLINK("https://tbc.wowhead.com/item=29766","[Gamaschen des gefallenen Champions]")</f>
        <v>[Gamaschen des gefallenen Champions]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172</v>
      </c>
      <c r="K105" t="s">
        <v>173</v>
      </c>
      <c r="L105" t="str">
        <f>HYPERLINK("https://tbc.wowhead.com/item=28748","[Beinplatten des Unschuldigen]")</f>
        <v>[Beinplatten des Unschuldigen]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">
      <c r="A106" t="s">
        <v>96</v>
      </c>
      <c r="B106" s="1">
        <v>46170</v>
      </c>
      <c r="C106" s="2">
        <v>0.84513888888888888</v>
      </c>
      <c r="D106" t="str">
        <f>HYPERLINK("https://tbc.wowhead.com/item=30247","[Gamaschen des bezwungenen Helden]")</f>
        <v>[Gamaschen des bezwungenen Helden]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25</v>
      </c>
      <c r="K106" t="s">
        <v>34</v>
      </c>
      <c r="L106" t="str">
        <f>HYPERLINK("https://tbc.wowhead.com/item=24262","[Hose des Zauberschlags]")</f>
        <v>[Hose des Zauberschlags]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">
      <c r="A107" t="s">
        <v>66</v>
      </c>
      <c r="B107" s="1">
        <v>46170</v>
      </c>
      <c r="C107" s="2">
        <v>0.85833333333333328</v>
      </c>
      <c r="D107" t="str">
        <f>HYPERLINK("https://tbc.wowhead.com/item=30720","[Flechte der Schlangenschlinge]")</f>
        <v>[Flechte der Schlangenschlinge]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25</v>
      </c>
      <c r="K107" t="s">
        <v>129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">
      <c r="A108" t="s">
        <v>127</v>
      </c>
      <c r="B108" s="1">
        <v>46170</v>
      </c>
      <c r="C108" s="2">
        <v>0.85833333333333328</v>
      </c>
      <c r="D108" t="str">
        <f>HYPERLINK("https://tbc.wowhead.com/item=30081","[Kriegsstiefel der Auslöschung]")</f>
        <v>[Kriegsstiefel der Auslöschung]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25</v>
      </c>
      <c r="K108" t="s">
        <v>129</v>
      </c>
      <c r="L108" t="str">
        <f>HYPERLINK("https://tbc.wowhead.com/item=28608","[Eisenschreiter der Dringlichkeit]")</f>
        <v>[Eisenschreiter der Dringlichkeit]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">
      <c r="A109" t="s">
        <v>127</v>
      </c>
      <c r="B109" s="1">
        <v>46170</v>
      </c>
      <c r="C109" s="2">
        <v>0.90555555555555556</v>
      </c>
      <c r="D109" t="str">
        <f>HYPERLINK("https://tbc.wowhead.com/item=29753","[Brustschutz des gefallenen Verteidigers]")</f>
        <v>[Brustschutz des gefallenen Verteidigers]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176</v>
      </c>
      <c r="K109" t="s">
        <v>177</v>
      </c>
      <c r="L109" t="str">
        <f>HYPERLINK("https://tbc.wowhead.com/item=28601","[Brustschutz des Verschwörers]")</f>
        <v>[Brustschutz des Verschwörers]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">
      <c r="A110" t="s">
        <v>143</v>
      </c>
      <c r="B110" s="1">
        <v>46170</v>
      </c>
      <c r="C110" s="2">
        <v>0.80138888888888893</v>
      </c>
      <c r="D110" t="str">
        <f>HYPERLINK("https://tbc.wowhead.com/item=30054","[Brustschutz des Waldläufergenerals]")</f>
        <v>[Brustschutz des Waldläufergenerals]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25</v>
      </c>
      <c r="K110" t="s">
        <v>191</v>
      </c>
      <c r="L110" t="str">
        <f>HYPERLINK("https://tbc.wowhead.com/item=28599","[Schuppenbrustplatte des Blutbads]")</f>
        <v>[Schuppenbrustplatte des Blutbads]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">
      <c r="A111" t="s">
        <v>143</v>
      </c>
      <c r="B111" s="1">
        <v>46170</v>
      </c>
      <c r="C111" s="2">
        <v>0.89444444444444449</v>
      </c>
      <c r="D111" t="str">
        <f>HYPERLINK("https://tbc.wowhead.com/item=29766","[Gamaschen des gefallenen Champions]")</f>
        <v>[Gamaschen des gefallenen Champions]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172</v>
      </c>
      <c r="K111" t="s">
        <v>173</v>
      </c>
      <c r="L111" t="str">
        <f>HYPERLINK("https://tbc.wowhead.com/item=30535","[Kilt des Waldhüters]")</f>
        <v>[Kilt des Waldhüters]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">
      <c r="A112" t="s">
        <v>87</v>
      </c>
      <c r="B112" s="1">
        <v>46170</v>
      </c>
      <c r="C112" s="2">
        <v>0.81527777777777777</v>
      </c>
      <c r="D112" t="str">
        <f>HYPERLINK("https://tbc.wowhead.com/item=30058","[Schlaghammer der Gezeiten]")</f>
        <v>[Schlaghammer der Gezeiten]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25</v>
      </c>
      <c r="K112" t="s">
        <v>178</v>
      </c>
      <c r="L112" t="str">
        <f>HYPERLINK("https://tbc.wowhead.com/item=28438","[Drachenmal]")</f>
        <v>[Drachenmal]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">
      <c r="A113" t="s">
        <v>87</v>
      </c>
      <c r="B113" s="1">
        <v>46170</v>
      </c>
      <c r="C113" s="2">
        <v>0.83680555555555558</v>
      </c>
      <c r="D113" t="str">
        <f>HYPERLINK("https://tbc.wowhead.com/item=30240","[Handschuhe des bezwungenen Verteidigers]")</f>
        <v>[Handschuhe des bezwungenen Verteidigers]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25</v>
      </c>
      <c r="K113" t="s">
        <v>26</v>
      </c>
      <c r="L113" t="str">
        <f>HYPERLINK("https://tbc.wowhead.com/item=28824","[Stulpen der Kampfvollendung]")</f>
        <v>[Stulpen der Kampfvollendung]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">
      <c r="A114" t="s">
        <v>131</v>
      </c>
      <c r="B114" s="1">
        <v>46170</v>
      </c>
      <c r="C114" s="2">
        <v>0.90625</v>
      </c>
      <c r="D114" t="str">
        <f>HYPERLINK("https://tbc.wowhead.com/item=28789","[Magtheridons Auge]")</f>
        <v>[Magtheridons Auge]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176</v>
      </c>
      <c r="K114" t="s">
        <v>177</v>
      </c>
      <c r="L114" t="str">
        <f>HYPERLINK("https://tbc.wowhead.com/item=27683","[Quagmirrans Auge]")</f>
        <v>[Quagmirrans Auge]</v>
      </c>
      <c r="M114" t="str">
        <f>HYPERLINK("https://tbc.wowhead.com/item=29370","[Ikone des Silberwappens]")</f>
        <v>[Ikone des Silberwappens]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">
      <c r="A115" s="17" t="s">
        <v>127</v>
      </c>
      <c r="B115" s="18">
        <v>46174</v>
      </c>
      <c r="C115" s="2">
        <v>0.84930555555555554</v>
      </c>
      <c r="D115" s="17" t="str">
        <f>HYPERLINK("https://tbc.wowhead.com/item=29993","[Zwillingsklinge des Phönix]")</f>
        <v>[Zwillingsklinge des Phönix]</v>
      </c>
      <c r="E115">
        <v>29993</v>
      </c>
      <c r="F115" t="s">
        <v>205</v>
      </c>
      <c r="G115" s="17" t="s">
        <v>23</v>
      </c>
      <c r="H115">
        <v>4</v>
      </c>
      <c r="I115" t="s">
        <v>58</v>
      </c>
      <c r="J115" t="s">
        <v>206</v>
      </c>
      <c r="K115" t="s">
        <v>207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">
      <c r="A116" s="17" t="s">
        <v>209</v>
      </c>
      <c r="B116" s="18">
        <v>46174</v>
      </c>
      <c r="C116" s="2">
        <v>0.81805555555555554</v>
      </c>
      <c r="D116" s="17" t="str">
        <f>HYPERLINK("https://tbc.wowhead.com/item=29984","[Gurt von Zaetar]")</f>
        <v>[Gurt von Zaetar]</v>
      </c>
      <c r="E116">
        <v>29984</v>
      </c>
      <c r="F116" t="s">
        <v>150</v>
      </c>
      <c r="G116" s="17" t="s">
        <v>41</v>
      </c>
      <c r="H116">
        <v>4</v>
      </c>
      <c r="I116" t="s">
        <v>75</v>
      </c>
      <c r="J116" t="s">
        <v>206</v>
      </c>
      <c r="K116" t="s">
        <v>210</v>
      </c>
      <c r="L116" t="str">
        <f>HYPERLINK("https://tbc.wowhead.com/item=32998","[Ringpanzergurt des Veteranen]")</f>
        <v>[Ringpanzergurt des Veteranen]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">
      <c r="A117" s="17" t="s">
        <v>155</v>
      </c>
      <c r="B117" s="18">
        <v>46174</v>
      </c>
      <c r="C117" s="2">
        <v>0.85</v>
      </c>
      <c r="D117" s="17" t="str">
        <f>HYPERLINK("https://tbc.wowhead.com/item=29987","[Stulpen des Sonnenkönigs]")</f>
        <v>[Stulpen des Sonnenkönigs]</v>
      </c>
      <c r="E117">
        <v>29987</v>
      </c>
      <c r="F117" t="s">
        <v>211</v>
      </c>
      <c r="G117" s="17" t="s">
        <v>23</v>
      </c>
      <c r="H117">
        <v>4</v>
      </c>
      <c r="I117" t="s">
        <v>68</v>
      </c>
      <c r="J117" t="s">
        <v>206</v>
      </c>
      <c r="K117" t="s">
        <v>207</v>
      </c>
      <c r="L117" t="str">
        <f>HYPERLINK("https://tbc.wowhead.com/item=29080","[Handschuhe der Aldor]")</f>
        <v>[Handschuhe der Aldor]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">
      <c r="A118" s="17" t="s">
        <v>145</v>
      </c>
      <c r="B118" s="18">
        <v>46174</v>
      </c>
      <c r="C118" s="2">
        <v>0.80972222222222223</v>
      </c>
      <c r="D118" s="17" t="str">
        <f>HYPERLINK("https://tbc.wowhead.com/item=30447","[Foliant der feurigen Erlösung]")</f>
        <v>[Foliant der feurigen Erlösung]</v>
      </c>
      <c r="E118">
        <v>30447</v>
      </c>
      <c r="F118" t="s">
        <v>161</v>
      </c>
      <c r="G118" s="17" t="s">
        <v>38</v>
      </c>
      <c r="H118">
        <v>3</v>
      </c>
      <c r="I118" t="s">
        <v>33</v>
      </c>
      <c r="J118" t="s">
        <v>206</v>
      </c>
      <c r="K118" t="s">
        <v>212</v>
      </c>
      <c r="L118" t="str">
        <f>HYPERLINK("https://tbc.wowhead.com/item=29376","[Essenz des Märtyrers]")</f>
        <v>[Essenz des Märtyrers]</v>
      </c>
      <c r="M118" t="str">
        <f>HYPERLINK("https://tbc.wowhead.com/item=28590","[Schleife der Opferung]")</f>
        <v>[Schleife der Opferung]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">
      <c r="A119" s="17" t="s">
        <v>29</v>
      </c>
      <c r="B119" s="18">
        <v>46174</v>
      </c>
      <c r="C119" s="2">
        <v>0.84861111111111109</v>
      </c>
      <c r="D119" s="17" t="str">
        <f>HYPERLINK("https://tbc.wowhead.com/item=30237","[Brustschutz des bezwungenen Verteidigers]")</f>
        <v>[Brustschutz des bezwungenen Verteidigers]</v>
      </c>
      <c r="E119">
        <v>30237</v>
      </c>
      <c r="F119" t="s">
        <v>157</v>
      </c>
      <c r="G119" s="17" t="s">
        <v>23</v>
      </c>
      <c r="H119">
        <v>4</v>
      </c>
      <c r="I119" t="s">
        <v>52</v>
      </c>
      <c r="J119" t="s">
        <v>206</v>
      </c>
      <c r="K119" t="s">
        <v>207</v>
      </c>
      <c r="L119" t="str">
        <f>HYPERLINK("https://tbc.wowhead.com/item=25689","[Schwere Grollhufweste]")</f>
        <v>[Schwere Grollhufweste]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">
      <c r="A120" s="17" t="s">
        <v>94</v>
      </c>
      <c r="B120" s="18">
        <v>46174</v>
      </c>
      <c r="C120" s="2">
        <v>0.84930555555555554</v>
      </c>
      <c r="D120" s="17" t="str">
        <f>HYPERLINK("https://tbc.wowhead.com/item=30238","[Brustschutz des bezwungenen Helden]")</f>
        <v>[Brustschutz des bezwungenen Helden]</v>
      </c>
      <c r="E120">
        <v>30238</v>
      </c>
      <c r="F120" t="s">
        <v>152</v>
      </c>
      <c r="G120" s="17" t="s">
        <v>23</v>
      </c>
      <c r="H120">
        <v>3</v>
      </c>
      <c r="I120" t="s">
        <v>68</v>
      </c>
      <c r="J120" t="s">
        <v>206</v>
      </c>
      <c r="K120" t="s">
        <v>207</v>
      </c>
      <c r="L120" t="str">
        <f>HYPERLINK("https://tbc.wowhead.com/item=29077","[Gewänder der Aldor]")</f>
        <v>[Gewänder der Aldor]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">
      <c r="A121" s="17" t="s">
        <v>21</v>
      </c>
      <c r="B121" s="18">
        <v>46174</v>
      </c>
      <c r="C121" s="2">
        <v>0.81805555555555554</v>
      </c>
      <c r="D121" s="17" t="str">
        <f>HYPERLINK("https://tbc.wowhead.com/item=30250","[Schulterstücke des bezwungenen Helden]")</f>
        <v>[Schulterstücke des bezwungenen Helden]</v>
      </c>
      <c r="E121">
        <v>30250</v>
      </c>
      <c r="F121" t="s">
        <v>124</v>
      </c>
      <c r="G121" s="17" t="s">
        <v>23</v>
      </c>
      <c r="H121">
        <v>4</v>
      </c>
      <c r="I121" t="s">
        <v>24</v>
      </c>
      <c r="J121" t="s">
        <v>206</v>
      </c>
      <c r="K121" t="s">
        <v>210</v>
      </c>
      <c r="L121" t="str">
        <f>HYPERLINK("https://tbc.wowhead.com/item=27801","[Mantelung des Wildtierfürsten]")</f>
        <v>[Mantelung des Wildtierfürsten]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">
      <c r="A122" s="17" t="s">
        <v>66</v>
      </c>
      <c r="B122" s="18">
        <v>46174</v>
      </c>
      <c r="C122" s="2">
        <v>0.80694444444444446</v>
      </c>
      <c r="D122" s="17" t="str">
        <f>HYPERLINK("https://tbc.wowhead.com/item=29922","[Al'ars Band]")</f>
        <v>[Al'ars Band]</v>
      </c>
      <c r="E122">
        <v>29922</v>
      </c>
      <c r="F122" t="s">
        <v>215</v>
      </c>
      <c r="G122" s="17" t="s">
        <v>23</v>
      </c>
      <c r="H122">
        <v>3</v>
      </c>
      <c r="I122" t="s">
        <v>68</v>
      </c>
      <c r="J122" t="s">
        <v>206</v>
      </c>
      <c r="K122" t="s">
        <v>212</v>
      </c>
      <c r="L122" t="str">
        <f>HYPERLINK("https://tbc.wowhead.com/item=29285","[Violettes Siegel]")</f>
        <v>[Violettes Siegel]</v>
      </c>
      <c r="M122" t="str">
        <f>HYPERLINK("https://tbc.wowhead.com/item=28394","[Ryngos Band des Scharfsinns]")</f>
        <v>[Ryngos Band des Scharfsinns]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">
      <c r="A123" s="17" t="s">
        <v>66</v>
      </c>
      <c r="B123" s="18">
        <v>46174</v>
      </c>
      <c r="C123" s="2">
        <v>0.81874999999999998</v>
      </c>
      <c r="D123" s="17" t="str">
        <f>HYPERLINK("https://tbc.wowhead.com/item=30250","[Schulterstücke des bezwungenen Helden]")</f>
        <v>[Schulterstücke des bezwungenen Helden]</v>
      </c>
      <c r="E123">
        <v>30250</v>
      </c>
      <c r="F123" t="s">
        <v>124</v>
      </c>
      <c r="G123" s="17" t="s">
        <v>23</v>
      </c>
      <c r="H123">
        <v>3</v>
      </c>
      <c r="I123" t="s">
        <v>68</v>
      </c>
      <c r="J123" t="s">
        <v>206</v>
      </c>
      <c r="K123" t="s">
        <v>210</v>
      </c>
      <c r="L123" t="str">
        <f>HYPERLINK("https://tbc.wowhead.com/item=29079","[Schulterstücke der Aldor]")</f>
        <v>[Schulterstücke der Aldor]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">
      <c r="A124" s="17" t="s">
        <v>105</v>
      </c>
      <c r="B124" s="18">
        <v>46174</v>
      </c>
      <c r="C124" s="2">
        <v>0.81736111111111109</v>
      </c>
      <c r="D124" s="17" t="str">
        <f>HYPERLINK("https://tbc.wowhead.com/item=30448","[Al'ars Kralle]")</f>
        <v>[Al'ars Kralle]</v>
      </c>
      <c r="E124">
        <v>30448</v>
      </c>
      <c r="F124" t="s">
        <v>216</v>
      </c>
      <c r="G124" s="17" t="s">
        <v>63</v>
      </c>
      <c r="H124">
        <v>3</v>
      </c>
      <c r="I124" t="s">
        <v>24</v>
      </c>
      <c r="J124" t="s">
        <v>206</v>
      </c>
      <c r="K124" t="s">
        <v>212</v>
      </c>
      <c r="L124" t="str">
        <f>HYPERLINK("https://tbc.wowhead.com/item=29383","[Kampfrauschbrosche]")</f>
        <v>[Kampfrauschbrosche]</v>
      </c>
      <c r="M124" t="str">
        <f>HYPERLINK("https://tbc.wowhead.com/item=28288","[Abakus der Ungleichheit]")</f>
        <v>[Abakus der Ungleichheit]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">
      <c r="A125" s="17" t="s">
        <v>143</v>
      </c>
      <c r="B125" s="18">
        <v>46174</v>
      </c>
      <c r="C125" s="2">
        <v>0.81874999999999998</v>
      </c>
      <c r="D125" s="17" t="str">
        <f>HYPERLINK("https://tbc.wowhead.com/item=30248","[Schulterstücke des bezwungenen Champions]")</f>
        <v>[Schulterstücke des bezwungenen Champions]</v>
      </c>
      <c r="E125">
        <v>30248</v>
      </c>
      <c r="F125" t="s">
        <v>217</v>
      </c>
      <c r="G125" s="17" t="s">
        <v>23</v>
      </c>
      <c r="H125">
        <v>3</v>
      </c>
      <c r="I125" t="s">
        <v>75</v>
      </c>
      <c r="J125" t="s">
        <v>206</v>
      </c>
      <c r="K125" t="s">
        <v>210</v>
      </c>
      <c r="L125" t="str">
        <f>HYPERLINK("https://tbc.wowhead.com/item=28755","[Klingenschulterpolster des Erbarmungslosen]")</f>
        <v>[Klingenschulterpolster des Erbarmungslosen]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">
      <c r="A126" s="17" t="s">
        <v>90</v>
      </c>
      <c r="B126" s="18">
        <v>46174</v>
      </c>
      <c r="C126" s="2">
        <v>0.85138888888888886</v>
      </c>
      <c r="D126" s="17" t="str">
        <f>HYPERLINK("https://tbc.wowhead.com/item=32405","[Tiefgrüne Sphäre]")</f>
        <v>[Tiefgrüne Sphäre]</v>
      </c>
      <c r="E126">
        <v>32405</v>
      </c>
      <c r="F126" t="s">
        <v>163</v>
      </c>
      <c r="G126" s="17" t="s">
        <v>23</v>
      </c>
      <c r="H126">
        <v>4</v>
      </c>
      <c r="I126" t="s">
        <v>75</v>
      </c>
      <c r="J126" t="s">
        <v>206</v>
      </c>
      <c r="K126" t="s">
        <v>207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">
      <c r="A127" s="17" t="s">
        <v>78</v>
      </c>
      <c r="B127" s="18">
        <v>46174</v>
      </c>
      <c r="C127" s="2">
        <v>0.84930555555555554</v>
      </c>
      <c r="D127" s="17" t="str">
        <f>HYPERLINK("https://tbc.wowhead.com/item=30237","[Brustschutz des bezwungenen Verteidigers]")</f>
        <v>[Brustschutz des bezwungenen Verteidigers]</v>
      </c>
      <c r="E127">
        <v>30237</v>
      </c>
      <c r="F127" t="s">
        <v>157</v>
      </c>
      <c r="G127" s="17" t="s">
        <v>23</v>
      </c>
      <c r="H127">
        <v>3</v>
      </c>
      <c r="I127" t="s">
        <v>52</v>
      </c>
      <c r="J127" t="s">
        <v>206</v>
      </c>
      <c r="K127" t="s">
        <v>207</v>
      </c>
      <c r="L127" t="str">
        <f>HYPERLINK("https://tbc.wowhead.com/item=28602","[Robe der Ahnenschriften]")</f>
        <v>[Robe der Ahnenschriften]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">
      <c r="A128" t="s">
        <v>131</v>
      </c>
      <c r="B128" s="1">
        <v>46177</v>
      </c>
      <c r="C128" s="2">
        <v>0.80347222222222225</v>
      </c>
      <c r="D128" t="s">
        <v>263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266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">
      <c r="A129" t="s">
        <v>276</v>
      </c>
      <c r="B129" s="1">
        <v>46177</v>
      </c>
      <c r="C129" s="2">
        <v>0.85416666666666663</v>
      </c>
      <c r="D129" t="s">
        <v>277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279</v>
      </c>
      <c r="L129" t="s">
        <v>280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">
      <c r="A130" t="s">
        <v>30</v>
      </c>
      <c r="B130" s="1">
        <v>46177</v>
      </c>
      <c r="C130" s="2">
        <v>0.86388888888888893</v>
      </c>
      <c r="D130" t="s">
        <v>334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335</v>
      </c>
      <c r="L130" t="s">
        <v>336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">
      <c r="A131" t="s">
        <v>30</v>
      </c>
      <c r="B131" s="1">
        <v>46177</v>
      </c>
      <c r="C131" s="2">
        <v>0.88194444444444442</v>
      </c>
      <c r="D131" t="s">
        <v>337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53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">
      <c r="A132" t="s">
        <v>56</v>
      </c>
      <c r="B132" s="1">
        <v>46177</v>
      </c>
      <c r="C132" s="2">
        <v>0.88055555555555554</v>
      </c>
      <c r="D132" t="s">
        <v>412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53</v>
      </c>
      <c r="L132" t="s">
        <v>414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">
      <c r="A133" t="s">
        <v>169</v>
      </c>
      <c r="B133" s="1">
        <v>46177</v>
      </c>
      <c r="C133" s="2">
        <v>0.82291666666666663</v>
      </c>
      <c r="D133" t="s">
        <v>450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452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">
      <c r="A134" t="s">
        <v>169</v>
      </c>
      <c r="B134" s="1">
        <v>46177</v>
      </c>
      <c r="C134" s="2">
        <v>0.88194444444444442</v>
      </c>
      <c r="D134" t="s">
        <v>454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53</v>
      </c>
      <c r="L134" t="s">
        <v>456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">
      <c r="A135" t="s">
        <v>159</v>
      </c>
      <c r="B135" s="1">
        <v>46177</v>
      </c>
      <c r="C135" s="2">
        <v>0.85277777777777775</v>
      </c>
      <c r="D135" t="s">
        <v>483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484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">
      <c r="A136" t="s">
        <v>159</v>
      </c>
      <c r="B136" s="1">
        <v>46177</v>
      </c>
      <c r="C136" s="2">
        <v>0.86805555555555558</v>
      </c>
      <c r="D136" t="s">
        <v>486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335</v>
      </c>
      <c r="L136" t="s">
        <v>488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">
      <c r="A137" t="s">
        <v>78</v>
      </c>
      <c r="B137" s="1">
        <v>46177</v>
      </c>
      <c r="C137" s="2">
        <v>0.85277777777777775</v>
      </c>
      <c r="D137" t="s">
        <v>507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508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">
      <c r="A138" t="s">
        <v>80</v>
      </c>
      <c r="B138" s="1">
        <v>46177</v>
      </c>
      <c r="C138" s="2">
        <v>0.85347222222222219</v>
      </c>
      <c r="D138" t="s">
        <v>515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508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">
      <c r="A139" t="s">
        <v>87</v>
      </c>
      <c r="B139" s="1">
        <v>46177</v>
      </c>
      <c r="C139" s="2">
        <v>0.8305555555555556</v>
      </c>
      <c r="D139" t="s">
        <v>538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539</v>
      </c>
      <c r="L139" t="s">
        <v>526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">
      <c r="A140" t="s">
        <v>87</v>
      </c>
      <c r="B140" s="1">
        <v>46177</v>
      </c>
      <c r="C140" s="2">
        <v>0.86597222222222225</v>
      </c>
      <c r="D140" t="s">
        <v>540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335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">
      <c r="A141" t="s">
        <v>87</v>
      </c>
      <c r="B141" s="1">
        <v>46177</v>
      </c>
      <c r="C141" s="2">
        <v>0.88055555555555554</v>
      </c>
      <c r="D141" t="s">
        <v>542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53</v>
      </c>
      <c r="L141" t="s">
        <v>544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">
      <c r="A142" t="s">
        <v>87</v>
      </c>
      <c r="B142" s="1">
        <v>46177</v>
      </c>
      <c r="C142" s="2">
        <v>0.88680555555555551</v>
      </c>
      <c r="D142" t="s">
        <v>545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546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">
      <c r="A143" t="s">
        <v>145</v>
      </c>
      <c r="B143" s="1">
        <v>46177</v>
      </c>
      <c r="C143" s="2">
        <v>0.86319444444444449</v>
      </c>
      <c r="D143" t="s">
        <v>594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335</v>
      </c>
      <c r="L143" t="s">
        <v>595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">
      <c r="A144" t="s">
        <v>145</v>
      </c>
      <c r="B144" s="1">
        <v>46177</v>
      </c>
      <c r="C144" s="2">
        <v>0.8833333333333333</v>
      </c>
      <c r="D144" t="s">
        <v>596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597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">
      <c r="A145" t="s">
        <v>145</v>
      </c>
      <c r="B145" s="1">
        <v>46177</v>
      </c>
      <c r="C145" s="2">
        <v>0.88472222222222219</v>
      </c>
      <c r="D145" t="s">
        <v>598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53</v>
      </c>
      <c r="L145" t="s">
        <v>600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">
      <c r="A146" t="s">
        <v>604</v>
      </c>
      <c r="B146" s="1">
        <v>46177</v>
      </c>
      <c r="C146" s="2">
        <v>0.86388888888888893</v>
      </c>
      <c r="D146" t="s">
        <v>605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335</v>
      </c>
      <c r="L146" t="s">
        <v>607</v>
      </c>
      <c r="M146" t="s">
        <v>472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">
      <c r="A147" t="s">
        <v>105</v>
      </c>
      <c r="B147" s="1">
        <v>46177</v>
      </c>
      <c r="C147" s="2">
        <v>0.88472222222222219</v>
      </c>
      <c r="D147" t="s">
        <v>614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615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">
      <c r="A148" t="s">
        <v>143</v>
      </c>
      <c r="B148" s="1">
        <v>46177</v>
      </c>
      <c r="C148" s="2">
        <v>0.85486111111111107</v>
      </c>
      <c r="D148" t="s">
        <v>659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279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">
      <c r="A149" t="s">
        <v>98</v>
      </c>
      <c r="B149" s="1">
        <v>46177</v>
      </c>
      <c r="C149" s="2">
        <v>0.87986111111111109</v>
      </c>
      <c r="D149" t="s">
        <v>668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53</v>
      </c>
      <c r="L149" t="s">
        <v>670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">
      <c r="A150" t="s">
        <v>98</v>
      </c>
      <c r="B150" s="1">
        <v>46177</v>
      </c>
      <c r="C150" s="2">
        <v>0.88124999999999998</v>
      </c>
      <c r="D150" t="s">
        <v>538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53</v>
      </c>
      <c r="L150" t="s">
        <v>671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">
      <c r="A151" t="s">
        <v>98</v>
      </c>
      <c r="B151" s="1">
        <v>46177</v>
      </c>
      <c r="C151" s="2">
        <v>0.88124999999999998</v>
      </c>
      <c r="D151" t="s">
        <v>672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53</v>
      </c>
      <c r="L151" t="s">
        <v>674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">
      <c r="A152" t="s">
        <v>131</v>
      </c>
      <c r="B152" s="1">
        <v>46181</v>
      </c>
      <c r="C152" s="2">
        <v>0.81180555555555556</v>
      </c>
      <c r="D152" t="s">
        <v>267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206</v>
      </c>
      <c r="K152" t="s">
        <v>212</v>
      </c>
      <c r="L152" t="s">
        <v>268</v>
      </c>
      <c r="M152" t="s">
        <v>269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">
      <c r="A153" t="s">
        <v>131</v>
      </c>
      <c r="B153" s="1">
        <v>46181</v>
      </c>
      <c r="C153" s="2">
        <v>0.8256944444444444</v>
      </c>
      <c r="D153" t="s">
        <v>270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206</v>
      </c>
      <c r="K153" t="s">
        <v>210</v>
      </c>
      <c r="L153" t="s">
        <v>272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">
      <c r="A154" t="s">
        <v>131</v>
      </c>
      <c r="B154" s="1">
        <v>46181</v>
      </c>
      <c r="C154" s="2">
        <v>0.87083333333333335</v>
      </c>
      <c r="D154" t="s">
        <v>273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172</v>
      </c>
      <c r="K154" t="s">
        <v>173</v>
      </c>
      <c r="L154" t="s">
        <v>274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">
      <c r="A155" t="s">
        <v>131</v>
      </c>
      <c r="B155" s="1">
        <v>46181</v>
      </c>
      <c r="C155" s="2">
        <v>0.88263888888888886</v>
      </c>
      <c r="D155" t="s">
        <v>254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176</v>
      </c>
      <c r="K155" t="s">
        <v>177</v>
      </c>
      <c r="L155" t="s">
        <v>275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">
      <c r="A156" t="s">
        <v>276</v>
      </c>
      <c r="B156" s="1">
        <v>46181</v>
      </c>
      <c r="C156" s="2">
        <v>0.85416666666666663</v>
      </c>
      <c r="D156" t="s">
        <v>281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206</v>
      </c>
      <c r="K156" t="s">
        <v>282</v>
      </c>
      <c r="L156" t="s">
        <v>283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">
      <c r="A157" t="s">
        <v>96</v>
      </c>
      <c r="B157" s="1">
        <v>46181</v>
      </c>
      <c r="C157" s="2">
        <v>0.85347222222222219</v>
      </c>
      <c r="D157" t="s">
        <v>317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206</v>
      </c>
      <c r="K157" t="s">
        <v>282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">
      <c r="A158" t="s">
        <v>186</v>
      </c>
      <c r="B158" s="1">
        <v>46181</v>
      </c>
      <c r="C158" s="2">
        <v>0.87222222222222223</v>
      </c>
      <c r="D158" t="s">
        <v>360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172</v>
      </c>
      <c r="K158" t="s">
        <v>173</v>
      </c>
      <c r="L158" t="s">
        <v>358</v>
      </c>
      <c r="M158" t="s">
        <v>359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">
      <c r="A159" t="s">
        <v>186</v>
      </c>
      <c r="B159" s="1">
        <v>46181</v>
      </c>
      <c r="C159" s="2">
        <v>0.875</v>
      </c>
      <c r="D159" t="s">
        <v>363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172</v>
      </c>
      <c r="K159" t="s">
        <v>173</v>
      </c>
      <c r="L159" t="s">
        <v>365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">
      <c r="A160" t="s">
        <v>29</v>
      </c>
      <c r="B160" s="1">
        <v>46181</v>
      </c>
      <c r="C160" s="2">
        <v>0.85624999999999996</v>
      </c>
      <c r="D160" t="s">
        <v>382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206</v>
      </c>
      <c r="K160" t="s">
        <v>212</v>
      </c>
      <c r="L160" t="s">
        <v>383</v>
      </c>
      <c r="M160" t="s">
        <v>384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">
      <c r="A161" t="s">
        <v>70</v>
      </c>
      <c r="B161" s="1">
        <v>46181</v>
      </c>
      <c r="C161" s="2">
        <v>0.85486111111111107</v>
      </c>
      <c r="D161" t="s">
        <v>436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206</v>
      </c>
      <c r="K161" t="s">
        <v>438</v>
      </c>
      <c r="L161" t="s">
        <v>439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">
      <c r="A162" t="s">
        <v>169</v>
      </c>
      <c r="B162" s="1">
        <v>46181</v>
      </c>
      <c r="C162" s="2">
        <v>0.81180555555555556</v>
      </c>
      <c r="D162" t="s">
        <v>457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206</v>
      </c>
      <c r="K162" t="s">
        <v>212</v>
      </c>
      <c r="L162" t="s">
        <v>447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">
      <c r="A163" t="s">
        <v>73</v>
      </c>
      <c r="B163" s="1">
        <v>46181</v>
      </c>
      <c r="C163" s="2">
        <v>0.87152777777777779</v>
      </c>
      <c r="D163" t="s">
        <v>474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172</v>
      </c>
      <c r="K163" t="s">
        <v>173</v>
      </c>
      <c r="L163" t="s">
        <v>343</v>
      </c>
      <c r="M163" t="s">
        <v>342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">
      <c r="A164" t="s">
        <v>159</v>
      </c>
      <c r="B164" s="1">
        <v>46181</v>
      </c>
      <c r="C164" s="2">
        <v>0.87083333333333335</v>
      </c>
      <c r="D164" t="s">
        <v>476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172</v>
      </c>
      <c r="K164" t="s">
        <v>173</v>
      </c>
      <c r="L164" t="s">
        <v>489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">
      <c r="A165" t="s">
        <v>78</v>
      </c>
      <c r="B165" s="1">
        <v>46181</v>
      </c>
      <c r="C165" s="2">
        <v>0.83402777777777781</v>
      </c>
      <c r="D165" t="s">
        <v>509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206</v>
      </c>
      <c r="K165" t="s">
        <v>210</v>
      </c>
      <c r="L165" t="s">
        <v>501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">
      <c r="A166" t="s">
        <v>80</v>
      </c>
      <c r="B166" s="1">
        <v>46181</v>
      </c>
      <c r="C166" s="2">
        <v>0.87083333333333335</v>
      </c>
      <c r="D166" t="s">
        <v>513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172</v>
      </c>
      <c r="K166" t="s">
        <v>173</v>
      </c>
      <c r="L166" t="s">
        <v>429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">
      <c r="A167" t="s">
        <v>80</v>
      </c>
      <c r="B167" s="1">
        <v>46181</v>
      </c>
      <c r="C167" s="2">
        <v>0.87083333333333335</v>
      </c>
      <c r="D167" t="s">
        <v>422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172</v>
      </c>
      <c r="K167" t="s">
        <v>173</v>
      </c>
      <c r="L167" t="s">
        <v>316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">
      <c r="A168" t="s">
        <v>80</v>
      </c>
      <c r="B168" s="1">
        <v>46181</v>
      </c>
      <c r="C168" s="2">
        <v>0.875</v>
      </c>
      <c r="D168" t="s">
        <v>422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172</v>
      </c>
      <c r="K168" t="s">
        <v>173</v>
      </c>
      <c r="L168" t="s">
        <v>316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">
      <c r="A169" t="s">
        <v>209</v>
      </c>
      <c r="B169" s="1">
        <v>46181</v>
      </c>
      <c r="C169" s="2">
        <v>0.83402777777777781</v>
      </c>
      <c r="D169" t="s">
        <v>518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206</v>
      </c>
      <c r="K169" t="s">
        <v>438</v>
      </c>
      <c r="L169" t="s">
        <v>520</v>
      </c>
      <c r="M169" t="s">
        <v>521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">
      <c r="A170" t="s">
        <v>87</v>
      </c>
      <c r="B170" s="1">
        <v>46181</v>
      </c>
      <c r="C170" s="2">
        <v>0.85347222222222219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206</v>
      </c>
      <c r="K170" t="s">
        <v>282</v>
      </c>
      <c r="L170" t="s">
        <v>547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">
      <c r="A171" t="s">
        <v>90</v>
      </c>
      <c r="B171" s="1">
        <v>46181</v>
      </c>
      <c r="C171" s="2">
        <v>0.85347222222222219</v>
      </c>
      <c r="D171" t="s">
        <v>559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206</v>
      </c>
      <c r="K171" t="s">
        <v>282</v>
      </c>
      <c r="L171" t="s">
        <v>561</v>
      </c>
      <c r="M171" t="s">
        <v>562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">
      <c r="A172" t="s">
        <v>84</v>
      </c>
      <c r="B172" s="1">
        <v>46181</v>
      </c>
      <c r="C172" s="2">
        <v>0.82499999999999996</v>
      </c>
      <c r="D172" t="s">
        <v>581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206</v>
      </c>
      <c r="K172" t="s">
        <v>210</v>
      </c>
      <c r="L172" t="s">
        <v>582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">
      <c r="A173" t="s">
        <v>84</v>
      </c>
      <c r="B173" s="1">
        <v>46181</v>
      </c>
      <c r="C173" s="2">
        <v>0.88194444444444442</v>
      </c>
      <c r="D173" t="s">
        <v>583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172</v>
      </c>
      <c r="K173" t="s">
        <v>173</v>
      </c>
      <c r="L173" t="s">
        <v>585</v>
      </c>
      <c r="M173" t="s">
        <v>394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">
      <c r="A174" t="s">
        <v>145</v>
      </c>
      <c r="B174" s="1">
        <v>46181</v>
      </c>
      <c r="C174" s="2">
        <v>0.83402777777777781</v>
      </c>
      <c r="D174" t="s">
        <v>601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206</v>
      </c>
      <c r="K174" t="s">
        <v>438</v>
      </c>
      <c r="L174" t="s">
        <v>603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">
      <c r="A175" t="s">
        <v>145</v>
      </c>
      <c r="B175" s="1">
        <v>46181</v>
      </c>
      <c r="C175" s="2">
        <v>0.8833333333333333</v>
      </c>
      <c r="D175" t="s">
        <v>307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176</v>
      </c>
      <c r="K175" t="s">
        <v>177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">
      <c r="A176" t="s">
        <v>604</v>
      </c>
      <c r="B176" s="1">
        <v>46181</v>
      </c>
      <c r="C176" s="2">
        <v>0.88263888888888886</v>
      </c>
      <c r="D176" t="s">
        <v>254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176</v>
      </c>
      <c r="K176" t="s">
        <v>177</v>
      </c>
      <c r="L176" t="s">
        <v>275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">
      <c r="A177" t="s">
        <v>604</v>
      </c>
      <c r="B177" s="1">
        <v>46181</v>
      </c>
      <c r="C177" s="2">
        <v>0.8833333333333333</v>
      </c>
      <c r="D177" t="s">
        <v>254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176</v>
      </c>
      <c r="K177" t="s">
        <v>177</v>
      </c>
      <c r="L177" t="s">
        <v>275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">
      <c r="A178" t="s">
        <v>165</v>
      </c>
      <c r="B178" s="1">
        <v>46181</v>
      </c>
      <c r="C178" s="2">
        <v>0.8256944444444444</v>
      </c>
      <c r="D178" t="s">
        <v>581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206</v>
      </c>
      <c r="K178" t="s">
        <v>210</v>
      </c>
      <c r="L178" t="s">
        <v>620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">
      <c r="A179" t="s">
        <v>165</v>
      </c>
      <c r="B179" s="1">
        <v>46181</v>
      </c>
      <c r="C179" s="2">
        <v>0.85416666666666663</v>
      </c>
      <c r="D179" t="s">
        <v>621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206</v>
      </c>
      <c r="K179" t="s">
        <v>282</v>
      </c>
      <c r="L179" t="s">
        <v>623</v>
      </c>
      <c r="M179" t="s">
        <v>624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">
      <c r="A180" t="s">
        <v>165</v>
      </c>
      <c r="B180" s="1">
        <v>46181</v>
      </c>
      <c r="C180" s="2">
        <v>0.85555555555555551</v>
      </c>
      <c r="D180" t="s">
        <v>625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206</v>
      </c>
      <c r="K180" t="s">
        <v>282</v>
      </c>
      <c r="L180" t="s">
        <v>627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">
      <c r="U181" s="4" t="str">
        <f t="shared" si="5"/>
        <v/>
      </c>
    </row>
    <row r="182" spans="1:21" x14ac:dyDescent="0.2">
      <c r="U182" s="4" t="str">
        <f t="shared" si="5"/>
        <v/>
      </c>
    </row>
    <row r="183" spans="1:21" x14ac:dyDescent="0.2">
      <c r="U183" s="4" t="str">
        <f t="shared" si="5"/>
        <v/>
      </c>
    </row>
    <row r="184" spans="1:21" x14ac:dyDescent="0.2">
      <c r="U184" s="4" t="str">
        <f t="shared" si="5"/>
        <v/>
      </c>
    </row>
    <row r="185" spans="1:21" x14ac:dyDescent="0.2">
      <c r="U185" s="4" t="str">
        <f t="shared" si="5"/>
        <v/>
      </c>
    </row>
    <row r="186" spans="1:21" x14ac:dyDescent="0.2">
      <c r="U186" s="4" t="str">
        <f t="shared" si="5"/>
        <v/>
      </c>
    </row>
    <row r="187" spans="1:21" x14ac:dyDescent="0.2">
      <c r="U187" s="4" t="str">
        <f t="shared" si="5"/>
        <v/>
      </c>
    </row>
    <row r="188" spans="1:21" x14ac:dyDescent="0.2">
      <c r="U188" s="4" t="str">
        <f t="shared" si="5"/>
        <v/>
      </c>
    </row>
    <row r="189" spans="1:21" x14ac:dyDescent="0.2">
      <c r="U189" s="4" t="str">
        <f t="shared" si="5"/>
        <v/>
      </c>
    </row>
    <row r="190" spans="1:21" x14ac:dyDescent="0.2">
      <c r="U190" s="4" t="str">
        <f t="shared" si="5"/>
        <v/>
      </c>
    </row>
    <row r="191" spans="1:21" x14ac:dyDescent="0.2">
      <c r="U191" s="4" t="str">
        <f t="shared" si="5"/>
        <v/>
      </c>
    </row>
    <row r="192" spans="1:21" x14ac:dyDescent="0.2">
      <c r="U192" s="4" t="str">
        <f t="shared" si="5"/>
        <v/>
      </c>
    </row>
    <row r="193" spans="21:21" x14ac:dyDescent="0.2">
      <c r="U193" s="4" t="str">
        <f t="shared" si="5"/>
        <v/>
      </c>
    </row>
    <row r="194" spans="21:21" x14ac:dyDescent="0.2">
      <c r="U194" s="4" t="str">
        <f t="shared" ref="U194:U200" si="6">IF(B194="","",B194)</f>
        <v/>
      </c>
    </row>
    <row r="195" spans="21:21" x14ac:dyDescent="0.2">
      <c r="U195" s="4" t="str">
        <f t="shared" si="6"/>
        <v/>
      </c>
    </row>
    <row r="196" spans="21:21" x14ac:dyDescent="0.2">
      <c r="U196" s="4" t="str">
        <f t="shared" si="6"/>
        <v/>
      </c>
    </row>
    <row r="197" spans="21:21" x14ac:dyDescent="0.2">
      <c r="U197" s="4" t="str">
        <f t="shared" si="6"/>
        <v/>
      </c>
    </row>
    <row r="198" spans="21:21" x14ac:dyDescent="0.2">
      <c r="U198" s="4" t="str">
        <f t="shared" si="6"/>
        <v/>
      </c>
    </row>
    <row r="199" spans="21:21" x14ac:dyDescent="0.2">
      <c r="U199" s="4" t="str">
        <f t="shared" si="6"/>
        <v/>
      </c>
    </row>
    <row r="200" spans="21:21" x14ac:dyDescent="0.2">
      <c r="U200" s="4" t="str">
        <f t="shared" si="6"/>
        <v/>
      </c>
    </row>
  </sheetData>
  <autoFilter ref="A1:T200" xr:uid="{19451AA2-23CF-6249-8587-EF34CF3BDA66}">
    <sortState xmlns:xlrd2="http://schemas.microsoft.com/office/spreadsheetml/2017/richdata2" ref="A2:T200">
      <sortCondition ref="B1:B2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baseColWidth="10" defaultRowHeight="16" x14ac:dyDescent="0.2"/>
  <cols>
    <col min="1" max="1" width="24.83203125" bestFit="1" customWidth="1"/>
    <col min="2" max="2" width="10.1640625" bestFit="1" customWidth="1"/>
    <col min="3" max="3" width="8.1640625" bestFit="1" customWidth="1"/>
    <col min="4" max="4" width="86.83203125" bestFit="1" customWidth="1"/>
    <col min="5" max="5" width="6.6640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640625" bestFit="1" customWidth="1"/>
    <col min="11" max="11" width="24.5" bestFit="1" customWidth="1"/>
    <col min="12" max="12" width="85.83203125" bestFit="1" customWidth="1"/>
    <col min="13" max="13" width="81.6640625" bestFit="1" customWidth="1"/>
    <col min="14" max="14" width="10.33203125" bestFit="1" customWidth="1"/>
    <col min="15" max="15" width="13.5" bestFit="1" customWidth="1"/>
    <col min="16" max="16" width="7.5" bestFit="1" customWidth="1"/>
    <col min="17" max="17" width="17.83203125" bestFit="1" customWidth="1"/>
    <col min="18" max="18" width="14.1640625" bestFit="1" customWidth="1"/>
    <col min="19" max="19" width="52.6640625" bestFit="1" customWidth="1"/>
    <col min="20" max="20" width="24.83203125" bestFit="1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baseColWidth="10" defaultColWidth="8.83203125" defaultRowHeight="16" x14ac:dyDescent="0.2"/>
  <cols>
    <col min="1" max="1" width="37.1640625" bestFit="1" customWidth="1"/>
    <col min="2" max="2" width="46.1640625" bestFit="1" customWidth="1"/>
    <col min="3" max="3" width="8.83203125" bestFit="1" customWidth="1"/>
    <col min="4" max="4" width="7.83203125" bestFit="1" customWidth="1"/>
    <col min="5" max="5" width="9.83203125" bestFit="1" customWidth="1"/>
    <col min="19" max="19" width="24.6640625" style="25" bestFit="1" customWidth="1"/>
  </cols>
  <sheetData>
    <row r="1" spans="1:19" ht="22" x14ac:dyDescent="0.3">
      <c r="A1" s="19" t="s">
        <v>218</v>
      </c>
      <c r="S1" s="24" t="s">
        <v>219</v>
      </c>
    </row>
    <row r="2" spans="1:19" x14ac:dyDescent="0.2">
      <c r="S2" s="25" t="str" cm="1">
        <f t="array" ref="S2:S33">_xlfn._xlws.SORT(_xlfn.UNIQUE(_xlfn._xlws.FILTER('Loot History'!A2:A2000,'Loot History'!A2:A2000&lt;&gt;"")))</f>
        <v>Actitibe-Thunderstrike</v>
      </c>
    </row>
    <row r="3" spans="1:19" x14ac:dyDescent="0.2">
      <c r="A3" s="3" t="s">
        <v>220</v>
      </c>
      <c r="B3" s="20" t="s">
        <v>94</v>
      </c>
      <c r="S3" s="25" t="str">
        <v>Aethrîa-Thunderstrike</v>
      </c>
    </row>
    <row r="4" spans="1:19" x14ac:dyDescent="0.2">
      <c r="S4" s="25" t="str">
        <v>Alàén-Thunderstrike</v>
      </c>
    </row>
    <row r="5" spans="1:19" x14ac:dyDescent="0.2">
      <c r="A5" s="21" t="s">
        <v>221</v>
      </c>
      <c r="B5" s="21" t="s">
        <v>222</v>
      </c>
      <c r="C5" s="21" t="s">
        <v>223</v>
      </c>
      <c r="D5" s="21" t="s">
        <v>224</v>
      </c>
      <c r="E5" s="21" t="s">
        <v>225</v>
      </c>
      <c r="S5" s="25" t="str">
        <v>Bigfutti-Thunderstrike</v>
      </c>
    </row>
    <row r="6" spans="1:19" x14ac:dyDescent="0.2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[Flechte der Schlangenschlinge]</v>
      </c>
      <c r="B6" t="str">
        <v>Echsenkessel: Höhle des Schlangenschreins-25 Spieler</v>
      </c>
      <c r="C6" s="22">
        <v>46160</v>
      </c>
      <c r="D6" s="23">
        <v>0.90902777777777777</v>
      </c>
      <c r="E6" t="str">
        <v>BiS</v>
      </c>
      <c r="S6" s="25" t="str">
        <v>Desquite-Thunderstrike</v>
      </c>
    </row>
    <row r="7" spans="1:19" x14ac:dyDescent="0.2">
      <c r="A7" t="str">
        <v>[Pauldrons of the Vanquished Hero]</v>
      </c>
      <c r="B7" t="str">
        <v>Tempest Keep-25 Player</v>
      </c>
      <c r="C7" s="22">
        <v>46161</v>
      </c>
      <c r="D7" s="23">
        <v>0.92986111111111114</v>
      </c>
      <c r="E7" t="str">
        <v>BiS</v>
      </c>
      <c r="S7" s="25" t="str">
        <v>Fetzine-Thunderstrike</v>
      </c>
    </row>
    <row r="8" spans="1:19" x14ac:dyDescent="0.2">
      <c r="A8" t="str">
        <v>[Handschuhe des bezwungenen Helden]</v>
      </c>
      <c r="B8" t="str">
        <v>Echsenkessel: Höhle des Schlangenschreins-25 Spieler</v>
      </c>
      <c r="C8" s="22">
        <v>46163</v>
      </c>
      <c r="D8" s="23">
        <v>0.87986111111111109</v>
      </c>
      <c r="E8" t="str">
        <v>BiS</v>
      </c>
      <c r="S8" s="25" t="str">
        <v>Flieege-Thunderstrike</v>
      </c>
    </row>
    <row r="9" spans="1:19" x14ac:dyDescent="0.2">
      <c r="A9" t="str">
        <v>[Brustschutz des bezwungenen Helden]</v>
      </c>
      <c r="B9" t="str">
        <v>Festung der Stürme-25 Spieler</v>
      </c>
      <c r="C9" s="22">
        <v>46174</v>
      </c>
      <c r="D9" s="23">
        <v>0.84930555555555554</v>
      </c>
      <c r="E9" t="str">
        <v>BiS</v>
      </c>
      <c r="S9" s="25" t="str">
        <v>Gerdarogers-Thunderstrike</v>
      </c>
    </row>
    <row r="10" spans="1:19" x14ac:dyDescent="0.2">
      <c r="C10" s="22"/>
      <c r="D10" s="23"/>
      <c r="S10" s="25" t="str">
        <v>Grathmok-Thunderstrike</v>
      </c>
    </row>
    <row r="11" spans="1:19" x14ac:dyDescent="0.2">
      <c r="C11" s="22"/>
      <c r="D11" s="23"/>
      <c r="S11" s="25" t="str">
        <v>Heislbärt-Thunderstrike</v>
      </c>
    </row>
    <row r="12" spans="1:19" x14ac:dyDescent="0.2">
      <c r="C12" s="22"/>
      <c r="D12" s="23"/>
      <c r="S12" s="25" t="str">
        <v>Hutro-Thunderstrike</v>
      </c>
    </row>
    <row r="13" spans="1:19" x14ac:dyDescent="0.2">
      <c r="C13" s="22"/>
      <c r="D13" s="23"/>
      <c r="S13" s="25" t="str">
        <v>Keindaemon-Thunderstrike</v>
      </c>
    </row>
    <row r="14" spans="1:19" x14ac:dyDescent="0.2">
      <c r="C14" s="22"/>
      <c r="D14" s="23"/>
      <c r="S14" s="25" t="str">
        <v>Klaaw-Thunderstrike</v>
      </c>
    </row>
    <row r="15" spans="1:19" x14ac:dyDescent="0.2">
      <c r="C15" s="22"/>
      <c r="D15" s="23"/>
      <c r="S15" s="25" t="str">
        <v>Lilyasx-Thunderstrike</v>
      </c>
    </row>
    <row r="16" spans="1:19" x14ac:dyDescent="0.2">
      <c r="C16" s="22"/>
      <c r="D16" s="23"/>
      <c r="S16" s="25" t="str">
        <v>Mahway-Thunderstrike</v>
      </c>
    </row>
    <row r="17" spans="3:19" x14ac:dyDescent="0.2">
      <c r="C17" s="22"/>
      <c r="D17" s="23"/>
      <c r="S17" s="25" t="str">
        <v>Mardinez-Thunderstrike</v>
      </c>
    </row>
    <row r="18" spans="3:19" x14ac:dyDescent="0.2">
      <c r="C18" s="22"/>
      <c r="D18" s="23"/>
      <c r="S18" s="25" t="str">
        <v>Mokrash-Thunderstrike</v>
      </c>
    </row>
    <row r="19" spans="3:19" x14ac:dyDescent="0.2">
      <c r="C19" s="22"/>
      <c r="D19" s="23"/>
      <c r="S19" s="25" t="str">
        <v>Mommyfrieren-Thunderstrike</v>
      </c>
    </row>
    <row r="20" spans="3:19" x14ac:dyDescent="0.2">
      <c r="C20" s="22"/>
      <c r="D20" s="23"/>
      <c r="S20" s="25" t="str">
        <v>Oßa-Thunderstrike</v>
      </c>
    </row>
    <row r="21" spans="3:19" x14ac:dyDescent="0.2">
      <c r="C21" s="22"/>
      <c r="D21" s="23"/>
      <c r="S21" s="25" t="str">
        <v>Reezø-Thunderstrike</v>
      </c>
    </row>
    <row r="22" spans="3:19" x14ac:dyDescent="0.2">
      <c r="C22" s="22"/>
      <c r="D22" s="23"/>
      <c r="S22" s="25" t="str">
        <v>Ribsz-Thunderstrike</v>
      </c>
    </row>
    <row r="23" spans="3:19" x14ac:dyDescent="0.2">
      <c r="C23" s="22"/>
      <c r="D23" s="23"/>
      <c r="S23" s="25" t="str">
        <v>Sanderon-Thunderstrike</v>
      </c>
    </row>
    <row r="24" spans="3:19" x14ac:dyDescent="0.2">
      <c r="C24" s="22"/>
      <c r="D24" s="23"/>
      <c r="S24" s="25" t="str">
        <v>Shreklich-Thunderstrike</v>
      </c>
    </row>
    <row r="25" spans="3:19" x14ac:dyDescent="0.2">
      <c r="C25" s="22"/>
      <c r="D25" s="23"/>
      <c r="S25" s="25" t="str">
        <v>Spewspew-Thunderstrike</v>
      </c>
    </row>
    <row r="26" spans="3:19" x14ac:dyDescent="0.2">
      <c r="C26" s="22"/>
      <c r="D26" s="23"/>
      <c r="S26" s="25" t="str">
        <v>Supmyaeth-Thunderstrike</v>
      </c>
    </row>
    <row r="27" spans="3:19" x14ac:dyDescent="0.2">
      <c r="C27" s="22"/>
      <c r="D27" s="23"/>
      <c r="S27" s="25" t="str">
        <v>Tastycake-Thunderstrike</v>
      </c>
    </row>
    <row r="28" spans="3:19" x14ac:dyDescent="0.2">
      <c r="C28" s="22"/>
      <c r="D28" s="23"/>
      <c r="S28" s="25" t="str">
        <v>Tommypenn-Thunderstrike</v>
      </c>
    </row>
    <row r="29" spans="3:19" x14ac:dyDescent="0.2">
      <c r="C29" s="22"/>
      <c r="D29" s="23"/>
      <c r="S29" s="25" t="str">
        <v>Tuarendrood-Thunderstrike</v>
      </c>
    </row>
    <row r="30" spans="3:19" x14ac:dyDescent="0.2">
      <c r="C30" s="22"/>
      <c r="D30" s="23"/>
      <c r="S30" s="25" t="str">
        <v>Xænd-Thunderstrike</v>
      </c>
    </row>
    <row r="31" spans="3:19" x14ac:dyDescent="0.2">
      <c r="C31" s="22"/>
      <c r="D31" s="23"/>
      <c r="S31" s="25" t="str">
        <v>Zabipala-Thunderstrike</v>
      </c>
    </row>
    <row r="32" spans="3:19" x14ac:dyDescent="0.2">
      <c r="C32" s="22"/>
      <c r="D32" s="23"/>
      <c r="S32" s="25" t="str">
        <v>Zerleger-Thunderstrike</v>
      </c>
    </row>
    <row r="33" spans="3:19" x14ac:dyDescent="0.2">
      <c r="C33" s="22"/>
      <c r="D33" s="23"/>
      <c r="S33" s="25" t="str">
        <v>Zzou-Thunderstrike</v>
      </c>
    </row>
    <row r="34" spans="3:19" x14ac:dyDescent="0.2">
      <c r="C34" s="22"/>
      <c r="D34" s="23"/>
    </row>
    <row r="35" spans="3:19" x14ac:dyDescent="0.2">
      <c r="C35" s="22"/>
      <c r="D35" s="23"/>
    </row>
    <row r="36" spans="3:19" x14ac:dyDescent="0.2">
      <c r="C36" s="22"/>
      <c r="D36" s="23"/>
    </row>
    <row r="37" spans="3:19" x14ac:dyDescent="0.2">
      <c r="C37" s="22"/>
      <c r="D37" s="23"/>
    </row>
    <row r="38" spans="3:19" x14ac:dyDescent="0.2">
      <c r="C38" s="22"/>
      <c r="D38" s="23"/>
    </row>
    <row r="39" spans="3:19" x14ac:dyDescent="0.2">
      <c r="C39" s="22"/>
      <c r="D39" s="23"/>
    </row>
    <row r="40" spans="3:19" x14ac:dyDescent="0.2">
      <c r="C40" s="22"/>
      <c r="D40" s="23"/>
    </row>
    <row r="41" spans="3:19" x14ac:dyDescent="0.2">
      <c r="C41" s="22"/>
      <c r="D41" s="23"/>
    </row>
    <row r="42" spans="3:19" x14ac:dyDescent="0.2">
      <c r="C42" s="22"/>
      <c r="D42" s="23"/>
    </row>
    <row r="43" spans="3:19" x14ac:dyDescent="0.2">
      <c r="C43" s="22"/>
      <c r="D43" s="23"/>
    </row>
    <row r="44" spans="3:19" x14ac:dyDescent="0.2">
      <c r="C44" s="22"/>
      <c r="D44" s="23"/>
    </row>
    <row r="45" spans="3:19" x14ac:dyDescent="0.2">
      <c r="C45" s="22"/>
      <c r="D45" s="23"/>
    </row>
    <row r="46" spans="3:19" x14ac:dyDescent="0.2">
      <c r="C46" s="22"/>
      <c r="D46" s="23"/>
    </row>
    <row r="47" spans="3:19" x14ac:dyDescent="0.2">
      <c r="C47" s="22"/>
      <c r="D47" s="23"/>
    </row>
    <row r="48" spans="3:19" x14ac:dyDescent="0.2">
      <c r="C48" s="22"/>
      <c r="D48" s="23"/>
    </row>
    <row r="49" spans="3:4" x14ac:dyDescent="0.2">
      <c r="C49" s="22"/>
      <c r="D49" s="23"/>
    </row>
    <row r="50" spans="3:4" x14ac:dyDescent="0.2">
      <c r="C50" s="22"/>
      <c r="D50" s="23"/>
    </row>
    <row r="51" spans="3:4" x14ac:dyDescent="0.2">
      <c r="C51" s="22"/>
      <c r="D51" s="23"/>
    </row>
    <row r="52" spans="3:4" x14ac:dyDescent="0.2">
      <c r="C52" s="22"/>
      <c r="D52" s="23"/>
    </row>
    <row r="53" spans="3:4" x14ac:dyDescent="0.2">
      <c r="C53" s="22"/>
      <c r="D53" s="23"/>
    </row>
    <row r="54" spans="3:4" x14ac:dyDescent="0.2">
      <c r="C54" s="22"/>
      <c r="D54" s="23"/>
    </row>
    <row r="55" spans="3:4" x14ac:dyDescent="0.2">
      <c r="C55" s="22"/>
      <c r="D55" s="23"/>
    </row>
    <row r="56" spans="3:4" x14ac:dyDescent="0.2">
      <c r="C56" s="22"/>
      <c r="D56" s="23"/>
    </row>
    <row r="57" spans="3:4" x14ac:dyDescent="0.2">
      <c r="C57" s="22"/>
      <c r="D57" s="23"/>
    </row>
    <row r="58" spans="3:4" x14ac:dyDescent="0.2">
      <c r="C58" s="22"/>
      <c r="D58" s="23"/>
    </row>
    <row r="59" spans="3:4" x14ac:dyDescent="0.2">
      <c r="C59" s="22"/>
      <c r="D59" s="23"/>
    </row>
    <row r="60" spans="3:4" x14ac:dyDescent="0.2">
      <c r="C60" s="22"/>
      <c r="D60" s="23"/>
    </row>
    <row r="61" spans="3:4" x14ac:dyDescent="0.2">
      <c r="C61" s="22"/>
      <c r="D61" s="23"/>
    </row>
    <row r="62" spans="3:4" x14ac:dyDescent="0.2">
      <c r="C62" s="22"/>
      <c r="D62" s="23"/>
    </row>
    <row r="63" spans="3:4" x14ac:dyDescent="0.2">
      <c r="C63" s="22"/>
      <c r="D63" s="23"/>
    </row>
    <row r="64" spans="3:4" x14ac:dyDescent="0.2">
      <c r="C64" s="22"/>
      <c r="D64" s="23"/>
    </row>
    <row r="65" spans="3:4" x14ac:dyDescent="0.2">
      <c r="C65" s="22"/>
      <c r="D65" s="23"/>
    </row>
    <row r="66" spans="3:4" x14ac:dyDescent="0.2">
      <c r="C66" s="22"/>
      <c r="D66" s="23"/>
    </row>
    <row r="67" spans="3:4" x14ac:dyDescent="0.2">
      <c r="C67" s="22"/>
      <c r="D67" s="23"/>
    </row>
    <row r="68" spans="3:4" x14ac:dyDescent="0.2">
      <c r="C68" s="22"/>
      <c r="D68" s="23"/>
    </row>
    <row r="69" spans="3:4" x14ac:dyDescent="0.2">
      <c r="C69" s="22"/>
      <c r="D69" s="23"/>
    </row>
    <row r="70" spans="3:4" x14ac:dyDescent="0.2">
      <c r="C70" s="22"/>
      <c r="D70" s="23"/>
    </row>
    <row r="71" spans="3:4" x14ac:dyDescent="0.2">
      <c r="C71" s="22"/>
      <c r="D71" s="23"/>
    </row>
    <row r="72" spans="3:4" x14ac:dyDescent="0.2">
      <c r="C72" s="22"/>
      <c r="D72" s="23"/>
    </row>
    <row r="73" spans="3:4" x14ac:dyDescent="0.2">
      <c r="C73" s="22"/>
      <c r="D73" s="23"/>
    </row>
    <row r="74" spans="3:4" x14ac:dyDescent="0.2">
      <c r="C74" s="22"/>
      <c r="D74" s="23"/>
    </row>
    <row r="75" spans="3:4" x14ac:dyDescent="0.2">
      <c r="C75" s="22"/>
      <c r="D75" s="23"/>
    </row>
    <row r="76" spans="3:4" x14ac:dyDescent="0.2">
      <c r="C76" s="22"/>
      <c r="D76" s="23"/>
    </row>
    <row r="77" spans="3:4" x14ac:dyDescent="0.2">
      <c r="C77" s="22"/>
      <c r="D77" s="23"/>
    </row>
    <row r="78" spans="3:4" x14ac:dyDescent="0.2">
      <c r="C78" s="22"/>
      <c r="D78" s="23"/>
    </row>
    <row r="79" spans="3:4" x14ac:dyDescent="0.2">
      <c r="C79" s="22"/>
      <c r="D79" s="23"/>
    </row>
    <row r="80" spans="3:4" x14ac:dyDescent="0.2">
      <c r="C80" s="22"/>
      <c r="D80" s="23"/>
    </row>
    <row r="81" spans="3:4" x14ac:dyDescent="0.2">
      <c r="C81" s="22"/>
      <c r="D81" s="23"/>
    </row>
    <row r="82" spans="3:4" x14ac:dyDescent="0.2">
      <c r="C82" s="22"/>
      <c r="D82" s="23"/>
    </row>
    <row r="83" spans="3:4" x14ac:dyDescent="0.2">
      <c r="C83" s="22"/>
      <c r="D83" s="23"/>
    </row>
    <row r="84" spans="3:4" x14ac:dyDescent="0.2">
      <c r="C84" s="22"/>
      <c r="D84" s="23"/>
    </row>
    <row r="85" spans="3:4" x14ac:dyDescent="0.2">
      <c r="C85" s="22"/>
      <c r="D85" s="23"/>
    </row>
    <row r="86" spans="3:4" x14ac:dyDescent="0.2">
      <c r="C86" s="22"/>
      <c r="D86" s="23"/>
    </row>
    <row r="87" spans="3:4" x14ac:dyDescent="0.2">
      <c r="C87" s="22"/>
      <c r="D87" s="23"/>
    </row>
    <row r="88" spans="3:4" x14ac:dyDescent="0.2">
      <c r="C88" s="22"/>
      <c r="D88" s="23"/>
    </row>
    <row r="89" spans="3:4" x14ac:dyDescent="0.2">
      <c r="C89" s="22"/>
      <c r="D89" s="23"/>
    </row>
    <row r="90" spans="3:4" x14ac:dyDescent="0.2">
      <c r="C90" s="22"/>
      <c r="D90" s="23"/>
    </row>
    <row r="91" spans="3:4" x14ac:dyDescent="0.2">
      <c r="C91" s="22"/>
      <c r="D91" s="23"/>
    </row>
    <row r="92" spans="3:4" x14ac:dyDescent="0.2">
      <c r="C92" s="22"/>
      <c r="D92" s="23"/>
    </row>
    <row r="93" spans="3:4" x14ac:dyDescent="0.2">
      <c r="C93" s="22"/>
      <c r="D93" s="23"/>
    </row>
    <row r="94" spans="3:4" x14ac:dyDescent="0.2">
      <c r="C94" s="22"/>
      <c r="D94" s="23"/>
    </row>
    <row r="95" spans="3:4" x14ac:dyDescent="0.2">
      <c r="C95" s="22"/>
      <c r="D95" s="23"/>
    </row>
    <row r="96" spans="3:4" x14ac:dyDescent="0.2">
      <c r="C96" s="22"/>
      <c r="D96" s="23"/>
    </row>
    <row r="97" spans="3:4" x14ac:dyDescent="0.2">
      <c r="C97" s="22"/>
      <c r="D97" s="23"/>
    </row>
    <row r="98" spans="3:4" x14ac:dyDescent="0.2">
      <c r="C98" s="22"/>
      <c r="D98" s="23"/>
    </row>
    <row r="99" spans="3:4" x14ac:dyDescent="0.2">
      <c r="C99" s="22"/>
      <c r="D99" s="23"/>
    </row>
    <row r="100" spans="3:4" x14ac:dyDescent="0.2">
      <c r="C100" s="22"/>
      <c r="D100" s="23"/>
    </row>
    <row r="101" spans="3:4" x14ac:dyDescent="0.2">
      <c r="C101" s="22"/>
      <c r="D101" s="23"/>
    </row>
    <row r="102" spans="3:4" x14ac:dyDescent="0.2">
      <c r="C102" s="22"/>
      <c r="D102" s="23"/>
    </row>
    <row r="103" spans="3:4" x14ac:dyDescent="0.2">
      <c r="C103" s="22"/>
      <c r="D103" s="23"/>
    </row>
    <row r="104" spans="3:4" x14ac:dyDescent="0.2">
      <c r="C104" s="22"/>
      <c r="D104" s="23"/>
    </row>
    <row r="105" spans="3:4" x14ac:dyDescent="0.2">
      <c r="C105" s="22"/>
      <c r="D105" s="23"/>
    </row>
    <row r="106" spans="3:4" x14ac:dyDescent="0.2">
      <c r="C106" s="22"/>
      <c r="D106" s="23"/>
    </row>
    <row r="107" spans="3:4" x14ac:dyDescent="0.2">
      <c r="C107" s="22"/>
      <c r="D107" s="23"/>
    </row>
    <row r="108" spans="3:4" x14ac:dyDescent="0.2">
      <c r="C108" s="22"/>
      <c r="D108" s="23"/>
    </row>
    <row r="109" spans="3:4" x14ac:dyDescent="0.2">
      <c r="C109" s="22"/>
      <c r="D109" s="23"/>
    </row>
    <row r="110" spans="3:4" x14ac:dyDescent="0.2">
      <c r="C110" s="22"/>
      <c r="D110" s="23"/>
    </row>
    <row r="111" spans="3:4" x14ac:dyDescent="0.2">
      <c r="C111" s="22"/>
      <c r="D111" s="23"/>
    </row>
    <row r="112" spans="3:4" x14ac:dyDescent="0.2">
      <c r="C112" s="22"/>
      <c r="D112" s="23"/>
    </row>
    <row r="113" spans="3:4" x14ac:dyDescent="0.2">
      <c r="C113" s="22"/>
      <c r="D113" s="23"/>
    </row>
    <row r="114" spans="3:4" x14ac:dyDescent="0.2">
      <c r="C114" s="22"/>
      <c r="D114" s="23"/>
    </row>
    <row r="115" spans="3:4" x14ac:dyDescent="0.2">
      <c r="C115" s="22"/>
      <c r="D115" s="23"/>
    </row>
    <row r="116" spans="3:4" x14ac:dyDescent="0.2">
      <c r="C116" s="22"/>
      <c r="D116" s="23"/>
    </row>
    <row r="117" spans="3:4" x14ac:dyDescent="0.2">
      <c r="C117" s="22"/>
      <c r="D117" s="23"/>
    </row>
    <row r="118" spans="3:4" x14ac:dyDescent="0.2">
      <c r="C118" s="22"/>
      <c r="D118" s="23"/>
    </row>
    <row r="119" spans="3:4" x14ac:dyDescent="0.2">
      <c r="C119" s="22"/>
      <c r="D119" s="23"/>
    </row>
    <row r="120" spans="3:4" x14ac:dyDescent="0.2">
      <c r="C120" s="22"/>
      <c r="D120" s="23"/>
    </row>
    <row r="121" spans="3:4" x14ac:dyDescent="0.2">
      <c r="C121" s="22"/>
      <c r="D121" s="23"/>
    </row>
    <row r="122" spans="3:4" x14ac:dyDescent="0.2">
      <c r="C122" s="22"/>
      <c r="D122" s="23"/>
    </row>
    <row r="123" spans="3:4" x14ac:dyDescent="0.2">
      <c r="C123" s="22"/>
      <c r="D123" s="23"/>
    </row>
    <row r="124" spans="3:4" x14ac:dyDescent="0.2">
      <c r="C124" s="22"/>
      <c r="D124" s="23"/>
    </row>
    <row r="125" spans="3:4" x14ac:dyDescent="0.2">
      <c r="C125" s="22"/>
      <c r="D125" s="23"/>
    </row>
    <row r="126" spans="3:4" x14ac:dyDescent="0.2">
      <c r="C126" s="22"/>
      <c r="D126" s="23"/>
    </row>
    <row r="127" spans="3:4" x14ac:dyDescent="0.2">
      <c r="C127" s="22"/>
      <c r="D127" s="23"/>
    </row>
    <row r="128" spans="3:4" x14ac:dyDescent="0.2">
      <c r="C128" s="22"/>
      <c r="D128" s="23"/>
    </row>
    <row r="129" spans="3:4" x14ac:dyDescent="0.2">
      <c r="C129" s="22"/>
      <c r="D129" s="23"/>
    </row>
    <row r="130" spans="3:4" x14ac:dyDescent="0.2">
      <c r="C130" s="22"/>
      <c r="D130" s="23"/>
    </row>
    <row r="131" spans="3:4" x14ac:dyDescent="0.2">
      <c r="C131" s="22"/>
      <c r="D131" s="23"/>
    </row>
    <row r="132" spans="3:4" x14ac:dyDescent="0.2">
      <c r="C132" s="22"/>
      <c r="D132" s="23"/>
    </row>
    <row r="133" spans="3:4" x14ac:dyDescent="0.2">
      <c r="C133" s="22"/>
      <c r="D133" s="23"/>
    </row>
    <row r="134" spans="3:4" x14ac:dyDescent="0.2">
      <c r="C134" s="22"/>
      <c r="D134" s="23"/>
    </row>
    <row r="135" spans="3:4" x14ac:dyDescent="0.2">
      <c r="C135" s="22"/>
      <c r="D135" s="23"/>
    </row>
    <row r="136" spans="3:4" x14ac:dyDescent="0.2">
      <c r="C136" s="22"/>
      <c r="D136" s="23"/>
    </row>
    <row r="137" spans="3:4" x14ac:dyDescent="0.2">
      <c r="C137" s="22"/>
      <c r="D137" s="23"/>
    </row>
    <row r="138" spans="3:4" x14ac:dyDescent="0.2">
      <c r="C138" s="22"/>
      <c r="D138" s="23"/>
    </row>
    <row r="139" spans="3:4" x14ac:dyDescent="0.2">
      <c r="C139" s="22"/>
      <c r="D139" s="23"/>
    </row>
    <row r="140" spans="3:4" x14ac:dyDescent="0.2">
      <c r="C140" s="22"/>
      <c r="D140" s="23"/>
    </row>
    <row r="141" spans="3:4" x14ac:dyDescent="0.2">
      <c r="C141" s="22"/>
      <c r="D141" s="23"/>
    </row>
    <row r="142" spans="3:4" x14ac:dyDescent="0.2">
      <c r="C142" s="22"/>
      <c r="D142" s="23"/>
    </row>
    <row r="143" spans="3:4" x14ac:dyDescent="0.2">
      <c r="C143" s="22"/>
      <c r="D143" s="23"/>
    </row>
    <row r="144" spans="3:4" x14ac:dyDescent="0.2">
      <c r="C144" s="22"/>
      <c r="D144" s="23"/>
    </row>
    <row r="145" spans="3:4" x14ac:dyDescent="0.2">
      <c r="C145" s="22"/>
      <c r="D145" s="23"/>
    </row>
    <row r="146" spans="3:4" x14ac:dyDescent="0.2">
      <c r="C146" s="22"/>
      <c r="D146" s="23"/>
    </row>
    <row r="147" spans="3:4" x14ac:dyDescent="0.2">
      <c r="C147" s="22"/>
      <c r="D147" s="23"/>
    </row>
    <row r="148" spans="3:4" x14ac:dyDescent="0.2">
      <c r="C148" s="22"/>
      <c r="D148" s="23"/>
    </row>
    <row r="149" spans="3:4" x14ac:dyDescent="0.2">
      <c r="C149" s="22"/>
      <c r="D149" s="23"/>
    </row>
    <row r="150" spans="3:4" x14ac:dyDescent="0.2">
      <c r="C150" s="22"/>
      <c r="D150" s="23"/>
    </row>
    <row r="151" spans="3:4" x14ac:dyDescent="0.2">
      <c r="C151" s="22"/>
      <c r="D151" s="23"/>
    </row>
    <row r="152" spans="3:4" x14ac:dyDescent="0.2">
      <c r="C152" s="22"/>
      <c r="D152" s="23"/>
    </row>
    <row r="153" spans="3:4" x14ac:dyDescent="0.2">
      <c r="C153" s="22"/>
      <c r="D153" s="23"/>
    </row>
    <row r="154" spans="3:4" x14ac:dyDescent="0.2">
      <c r="C154" s="22"/>
      <c r="D154" s="23"/>
    </row>
    <row r="155" spans="3:4" x14ac:dyDescent="0.2">
      <c r="C155" s="22"/>
      <c r="D155" s="23"/>
    </row>
    <row r="156" spans="3:4" x14ac:dyDescent="0.2">
      <c r="C156" s="22"/>
      <c r="D156" s="23"/>
    </row>
    <row r="157" spans="3:4" x14ac:dyDescent="0.2">
      <c r="C157" s="22"/>
      <c r="D157" s="23"/>
    </row>
    <row r="158" spans="3:4" x14ac:dyDescent="0.2">
      <c r="C158" s="22"/>
      <c r="D158" s="23"/>
    </row>
    <row r="159" spans="3:4" x14ac:dyDescent="0.2">
      <c r="C159" s="22"/>
      <c r="D159" s="23"/>
    </row>
    <row r="160" spans="3:4" x14ac:dyDescent="0.2">
      <c r="C160" s="22"/>
      <c r="D160" s="23"/>
    </row>
    <row r="161" spans="3:4" x14ac:dyDescent="0.2">
      <c r="C161" s="22"/>
      <c r="D161" s="23"/>
    </row>
    <row r="162" spans="3:4" x14ac:dyDescent="0.2">
      <c r="C162" s="22"/>
      <c r="D162" s="23"/>
    </row>
    <row r="163" spans="3:4" x14ac:dyDescent="0.2">
      <c r="C163" s="22"/>
      <c r="D163" s="23"/>
    </row>
    <row r="164" spans="3:4" x14ac:dyDescent="0.2">
      <c r="C164" s="22"/>
      <c r="D164" s="23"/>
    </row>
    <row r="165" spans="3:4" x14ac:dyDescent="0.2">
      <c r="C165" s="22"/>
      <c r="D165" s="23"/>
    </row>
    <row r="166" spans="3:4" x14ac:dyDescent="0.2">
      <c r="C166" s="22"/>
      <c r="D166" s="23"/>
    </row>
    <row r="167" spans="3:4" x14ac:dyDescent="0.2">
      <c r="C167" s="22"/>
      <c r="D167" s="23"/>
    </row>
    <row r="168" spans="3:4" x14ac:dyDescent="0.2">
      <c r="C168" s="22"/>
      <c r="D168" s="23"/>
    </row>
    <row r="169" spans="3:4" x14ac:dyDescent="0.2">
      <c r="C169" s="22"/>
      <c r="D169" s="23"/>
    </row>
    <row r="170" spans="3:4" x14ac:dyDescent="0.2">
      <c r="C170" s="22"/>
      <c r="D170" s="23"/>
    </row>
    <row r="171" spans="3:4" x14ac:dyDescent="0.2">
      <c r="C171" s="22"/>
      <c r="D171" s="23"/>
    </row>
    <row r="172" spans="3:4" x14ac:dyDescent="0.2">
      <c r="C172" s="22"/>
      <c r="D172" s="23"/>
    </row>
    <row r="173" spans="3:4" x14ac:dyDescent="0.2">
      <c r="C173" s="22"/>
      <c r="D173" s="23"/>
    </row>
    <row r="174" spans="3:4" x14ac:dyDescent="0.2">
      <c r="C174" s="22"/>
      <c r="D174" s="23"/>
    </row>
    <row r="175" spans="3:4" x14ac:dyDescent="0.2">
      <c r="C175" s="22"/>
      <c r="D175" s="23"/>
    </row>
    <row r="176" spans="3:4" x14ac:dyDescent="0.2">
      <c r="C176" s="22"/>
      <c r="D176" s="23"/>
    </row>
    <row r="177" spans="3:4" x14ac:dyDescent="0.2">
      <c r="C177" s="22"/>
      <c r="D177" s="23"/>
    </row>
    <row r="178" spans="3:4" x14ac:dyDescent="0.2">
      <c r="C178" s="22"/>
      <c r="D178" s="23"/>
    </row>
    <row r="179" spans="3:4" x14ac:dyDescent="0.2">
      <c r="C179" s="22"/>
      <c r="D179" s="23"/>
    </row>
    <row r="180" spans="3:4" x14ac:dyDescent="0.2">
      <c r="C180" s="22"/>
      <c r="D180" s="23"/>
    </row>
    <row r="181" spans="3:4" x14ac:dyDescent="0.2">
      <c r="C181" s="22"/>
      <c r="D181" s="23"/>
    </row>
    <row r="182" spans="3:4" x14ac:dyDescent="0.2">
      <c r="C182" s="22"/>
      <c r="D182" s="23"/>
    </row>
    <row r="183" spans="3:4" x14ac:dyDescent="0.2">
      <c r="C183" s="22"/>
      <c r="D183" s="23"/>
    </row>
    <row r="184" spans="3:4" x14ac:dyDescent="0.2">
      <c r="C184" s="22"/>
      <c r="D184" s="23"/>
    </row>
    <row r="185" spans="3:4" x14ac:dyDescent="0.2">
      <c r="C185" s="22"/>
      <c r="D185" s="23"/>
    </row>
    <row r="186" spans="3:4" x14ac:dyDescent="0.2">
      <c r="C186" s="22"/>
      <c r="D186" s="23"/>
    </row>
    <row r="187" spans="3:4" x14ac:dyDescent="0.2">
      <c r="C187" s="22"/>
      <c r="D187" s="23"/>
    </row>
    <row r="188" spans="3:4" x14ac:dyDescent="0.2">
      <c r="C188" s="22"/>
      <c r="D188" s="23"/>
    </row>
    <row r="189" spans="3:4" x14ac:dyDescent="0.2">
      <c r="C189" s="22"/>
      <c r="D189" s="23"/>
    </row>
    <row r="190" spans="3:4" x14ac:dyDescent="0.2">
      <c r="C190" s="22"/>
      <c r="D190" s="23"/>
    </row>
    <row r="191" spans="3:4" x14ac:dyDescent="0.2">
      <c r="C191" s="22"/>
      <c r="D191" s="23"/>
    </row>
    <row r="192" spans="3:4" x14ac:dyDescent="0.2">
      <c r="C192" s="22"/>
      <c r="D192" s="23"/>
    </row>
    <row r="193" spans="3:4" x14ac:dyDescent="0.2">
      <c r="C193" s="22"/>
      <c r="D193" s="23"/>
    </row>
    <row r="194" spans="3:4" x14ac:dyDescent="0.2">
      <c r="C194" s="22"/>
      <c r="D194" s="23"/>
    </row>
    <row r="195" spans="3:4" x14ac:dyDescent="0.2">
      <c r="C195" s="22"/>
      <c r="D195" s="23"/>
    </row>
    <row r="196" spans="3:4" x14ac:dyDescent="0.2">
      <c r="C196" s="22"/>
      <c r="D196" s="23"/>
    </row>
    <row r="197" spans="3:4" x14ac:dyDescent="0.2">
      <c r="C197" s="22"/>
      <c r="D197" s="23"/>
    </row>
    <row r="198" spans="3:4" x14ac:dyDescent="0.2">
      <c r="C198" s="22"/>
      <c r="D198" s="23"/>
    </row>
    <row r="199" spans="3:4" x14ac:dyDescent="0.2">
      <c r="C199" s="22"/>
      <c r="D199" s="23"/>
    </row>
    <row r="200" spans="3:4" x14ac:dyDescent="0.2">
      <c r="C200" s="22"/>
      <c r="D200" s="23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baseColWidth="10" defaultColWidth="8.83203125" defaultRowHeight="16" x14ac:dyDescent="0.2"/>
  <cols>
    <col min="1" max="1" width="31.5" bestFit="1" customWidth="1"/>
    <col min="2" max="2" width="30" customWidth="1"/>
    <col min="4" max="4" width="30" customWidth="1"/>
    <col min="5" max="11" width="11.6640625" customWidth="1"/>
    <col min="12" max="12" width="15" customWidth="1"/>
    <col min="13" max="13" width="4.6640625" customWidth="1"/>
    <col min="14" max="21" width="11.6640625" customWidth="1"/>
    <col min="22" max="22" width="4.6640625" customWidth="1"/>
    <col min="23" max="23" width="28.33203125" customWidth="1"/>
    <col min="24" max="24" width="11.6640625" customWidth="1"/>
    <col min="25" max="25" width="10.83203125" customWidth="1"/>
    <col min="26" max="26" width="18.6640625" bestFit="1" customWidth="1"/>
    <col min="27" max="27" width="8.1640625" bestFit="1" customWidth="1"/>
    <col min="28" max="28" width="56.1640625" bestFit="1" customWidth="1"/>
  </cols>
  <sheetData>
    <row r="1" spans="1:28" ht="24" x14ac:dyDescent="0.3">
      <c r="A1" s="5" t="s">
        <v>226</v>
      </c>
      <c r="D1" s="9" t="s">
        <v>227</v>
      </c>
    </row>
    <row r="2" spans="1:28" x14ac:dyDescent="0.2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9" x14ac:dyDescent="0.25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9" x14ac:dyDescent="0.25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2">IFERROR(_xlfn._xlws.SORT(_xlfn.UNIQUE(_xlfn._xlws.FILTER('Loot History'!K2:K1000,'Loot History'!K2:K1000&lt;&gt;""))),"")</f>
        <v>Al'ar</v>
      </c>
      <c r="X4" s="11">
        <f>IF(W4="","",COUNTIF('Loot History'!$K:$K,W4))</f>
        <v>6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Echsenkessel: Höhle des Schlangenschreins-25 Spieler</v>
      </c>
    </row>
    <row r="5" spans="1:28" ht="19" x14ac:dyDescent="0.25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Das Grauen aus der Tiefe</v>
      </c>
      <c r="X5" s="11">
        <f>IF(W5="","",COUNTIF('Loot History'!$K:$K,W5))</f>
        <v>3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9" x14ac:dyDescent="0.25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Fathom-Lord Karathress</v>
      </c>
      <c r="X6" s="11">
        <f>IF(W6="","",COUNTIF('Loot History'!$K:$K,W6))</f>
        <v>5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Echsenkessel: Höhle des Schlangenschreins-25 Spieler</v>
      </c>
    </row>
    <row r="7" spans="1:28" ht="19" x14ac:dyDescent="0.25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Gruul der Drachenschlächter</v>
      </c>
      <c r="X7" s="11">
        <f>IF(W7="","",COUNTIF('Loot History'!$K:$K,W7))</f>
        <v>18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9" x14ac:dyDescent="0.25">
      <c r="A8" s="6" t="s">
        <v>242</v>
      </c>
      <c r="B8" s="7" cm="1">
        <f t="array" ref="B8">SUMPRODUCT(('Loot History'!K2:K1000&lt;&gt;"")/COUNTIF('Loot History'!K2:K1000,'Loot History'!K2:K1000&amp;""))</f>
        <v>18.999999999999982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Hochastromantin Solarian</v>
      </c>
      <c r="X8" s="11">
        <f>IF(W8="","",COUNTIF('Loot History'!$K:$K,W8))</f>
        <v>3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Echsenkessel: Höhle des Schlangenschreins-25 Spieler</v>
      </c>
    </row>
    <row r="9" spans="1:28" x14ac:dyDescent="0.2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der Unstete</v>
      </c>
      <c r="X9" s="11">
        <f>IF(W9="","",COUNTIF('Loot History'!$K:$K,W9))</f>
        <v>3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Festung der Stürme-25 Spieler</v>
      </c>
    </row>
    <row r="10" spans="1:28" x14ac:dyDescent="0.2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Hydross the Unstable</v>
      </c>
      <c r="X10" s="11">
        <f>IF(W10="","",COUNTIF('Loot History'!$K:$K,W10))</f>
        <v>1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Kael'thas Sonnenwanderer</v>
      </c>
      <c r="X11" s="11">
        <f>IF(W11="","",COUNTIF('Loot History'!$K:$K,W11))</f>
        <v>6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Festung der Stürme-25 Spieler</v>
      </c>
    </row>
    <row r="12" spans="1:28" x14ac:dyDescent="0.2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Kael'thas Sunstrider</v>
      </c>
      <c r="X12" s="11">
        <f>IF(W12="","",COUNTIF('Loot History'!$K:$K,W12))</f>
        <v>31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Lady Vashj</v>
      </c>
      <c r="X13" s="11">
        <f>IF(W13="","",COUNTIF('Loot History'!$K:$K,W13))</f>
        <v>21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Leerhäscher</v>
      </c>
      <c r="X14" s="11">
        <f>IF(W14="","",COUNTIF('Loot History'!$K:$K,W14))</f>
        <v>8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Leotheras der Blinde</v>
      </c>
      <c r="X15" s="11">
        <f>IF(W15="","",COUNTIF('Loot History'!$K:$K,W15))</f>
        <v>19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Leotheras the Blind</v>
      </c>
      <c r="X16" s="11">
        <f>IF(W16="","",COUNTIF('Loot History'!$K:$K,W16))</f>
        <v>1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Magtheridon</v>
      </c>
      <c r="X17" s="11">
        <f>IF(W17="","",COUNTIF('Loot History'!$K:$K,W17))</f>
        <v>12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Morogrim Gezeitenwandler</v>
      </c>
      <c r="X18" s="11">
        <f>IF(W18="","",COUNTIF('Loot History'!$K:$K,W18))</f>
        <v>18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W19" t="str">
        <v>Morogrim Tidewalker</v>
      </c>
      <c r="X19" s="11">
        <f>IF(W19="","",COUNTIF('Loot History'!$K:$K,W19))</f>
        <v>5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The Lurker Below</v>
      </c>
      <c r="X20" s="11">
        <f>IF(W20="","",COUNTIF('Loot History'!$K:$K,W20))</f>
        <v>1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W21" t="str">
        <v>Tiefenlord Karathress</v>
      </c>
      <c r="X21" s="11">
        <f>IF(W21="","",COUNTIF('Loot History'!$K:$K,W21))</f>
        <v>12</v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W22" t="str">
        <v>Unbekannt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">
      <c r="AH215" t="str">
        <v>SHAMAN</v>
      </c>
      <c r="AI215" s="11">
        <f>IF(AH215="","",COUNTIF('Loot History'!$I:$I,AH215))</f>
        <v>26</v>
      </c>
    </row>
    <row r="216" spans="30:35" x14ac:dyDescent="0.2">
      <c r="AH216" t="str">
        <v>WARLOCK</v>
      </c>
      <c r="AI216" s="11">
        <f>IF(AH216="","",COUNTIF('Loot History'!$I:$I,AH216))</f>
        <v>13</v>
      </c>
    </row>
    <row r="217" spans="30:35" x14ac:dyDescent="0.2">
      <c r="AH217" t="str">
        <v>WARRIOR</v>
      </c>
      <c r="AI217" s="11">
        <f>IF(AH217="","",COUNTIF('Loot History'!$I:$I,AH217))</f>
        <v>33</v>
      </c>
    </row>
    <row r="261" spans="4:6" x14ac:dyDescent="0.2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2026-06-10T18:34:22Z</dcterms:modified>
  <cp:category/>
  <cp:contentStatus/>
</cp:coreProperties>
</file>