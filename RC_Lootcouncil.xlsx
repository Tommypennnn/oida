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pf\Downloads\"/>
    </mc:Choice>
  </mc:AlternateContent>
  <xr:revisionPtr revIDLastSave="0" documentId="8_{0F42D275-A73B-43D5-852D-C17AD5A00E73}" xr6:coauthVersionLast="47" xr6:coauthVersionMax="47" xr10:uidLastSave="{00000000-0000-0000-0000-000000000000}"/>
  <bookViews>
    <workbookView xWindow="-120" yWindow="-120" windowWidth="51840" windowHeight="21120" xr2:uid="{8A8C0742-13A5-1542-BAF7-E1A001F7B0C0}"/>
  </bookViews>
  <sheets>
    <sheet name="Loot History" sheetId="1" r:id="rId1"/>
    <sheet name="Player Lookup" sheetId="3" r:id="rId2"/>
    <sheet name="Dashboard" sheetId="2" r:id="rId3"/>
  </sheets>
  <definedNames>
    <definedName name="_xlnm._FilterDatabase" localSheetId="0" hidden="1">'Loot History'!$A$1:$T$279</definedName>
    <definedName name="chartBossCounts">Dashboard!$X$4:INDEX(Dashboard!$X$4:$X$53,COUNTA(Dashboard!$W$4:$W$53))</definedName>
    <definedName name="chartBossNames">Dashboard!$W$4:INDEX(Dashboard!$W$4:$W$53,COUNTA(Dashboard!$W$4:$W$53))</definedName>
    <definedName name="chartClassCounts">Dashboard!$AI$209:INDEX(Dashboard!#REF!,COUNTA(Dashboard!$K$209:$K$228))</definedName>
    <definedName name="chartClassNames">Dashboard!$AH$209:INDEX(Dashboard!$K$209:$K$228,COUNTA(Dashboard!$K$209:$K$228))</definedName>
    <definedName name="chartPlayerCounts">Dashboard!$E$3:INDEX(Dashboard!$E$3:$E$202,COUNTA(Dashboard!$D$3:$D$202))</definedName>
    <definedName name="chartPlayerNames">Dashboard!$D$3:INDEX(Dashboard!$D$3:$D$202,COUNTA(Dashboard!$D$3:$D$202))</definedName>
    <definedName name="chartRaidCounts">Dashboard!$AA$4:INDEX(Dashboard!$AA$4:$AA$53,COUNTA(Dashboard!$Z$4:$Z$53))</definedName>
    <definedName name="chartRaidLabels">Dashboard!$Z$4:INDEX(Dashboard!$Z$4:$Z$53,COUNTA(Dashboard!$Z$4:$Z$53))</definedName>
    <definedName name="chartRespCounts">Dashboard!$AE$209:$AE$214</definedName>
    <definedName name="chartRespLabels">Dashboard!$AD$209:$AD$214</definedName>
    <definedName name="message" localSheetId="0">'Loot History'!$A$1:$T$52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U174" i="1" l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S2" i="3" a="1"/>
  <c r="S2" i="3" s="1"/>
  <c r="AE209" i="2"/>
  <c r="AH209" i="2" a="1"/>
  <c r="AH209" i="2" s="1"/>
  <c r="AI209" i="2" s="1"/>
  <c r="AE210" i="2"/>
  <c r="AF210" i="2" s="1"/>
  <c r="AE211" i="2"/>
  <c r="AE212" i="2"/>
  <c r="AE213" i="2"/>
  <c r="AE214" i="2"/>
  <c r="B3" i="2"/>
  <c r="AB17" i="2"/>
  <c r="AB18" i="2"/>
  <c r="AB19" i="2"/>
  <c r="AB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38" i="2"/>
  <c r="AB39" i="2"/>
  <c r="AB40" i="2"/>
  <c r="AB41" i="2"/>
  <c r="AB42" i="2"/>
  <c r="AB43" i="2"/>
  <c r="AB44" i="2"/>
  <c r="AB45" i="2"/>
  <c r="AB46" i="2"/>
  <c r="AB47" i="2"/>
  <c r="AB48" i="2"/>
  <c r="AB49" i="2"/>
  <c r="AB50" i="2"/>
  <c r="AB51" i="2"/>
  <c r="AB52" i="2"/>
  <c r="AB53" i="2"/>
  <c r="AA17" i="2"/>
  <c r="AA18" i="2"/>
  <c r="AA19" i="2"/>
  <c r="AA20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38" i="2"/>
  <c r="AA39" i="2"/>
  <c r="AA40" i="2"/>
  <c r="AA41" i="2"/>
  <c r="AA42" i="2"/>
  <c r="AA43" i="2"/>
  <c r="AA44" i="2"/>
  <c r="AA45" i="2"/>
  <c r="AA46" i="2"/>
  <c r="AA47" i="2"/>
  <c r="AA48" i="2"/>
  <c r="AA49" i="2"/>
  <c r="AA50" i="2"/>
  <c r="AA51" i="2"/>
  <c r="AA52" i="2"/>
  <c r="AA53" i="2"/>
  <c r="Z4" i="2" a="1"/>
  <c r="W4" i="2" a="1"/>
  <c r="W4" i="2" s="1"/>
  <c r="X4" i="2" s="1"/>
  <c r="U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B8" i="2" a="1"/>
  <c r="B8" i="2" s="1"/>
  <c r="B7" i="2"/>
  <c r="B6" i="2"/>
  <c r="B5" i="2" a="1"/>
  <c r="B5" i="2" s="1"/>
  <c r="B4" i="2" a="1"/>
  <c r="B4" i="2" s="1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D3" i="2" a="1"/>
  <c r="E29" i="2" s="1"/>
  <c r="Z4" i="2" l="1"/>
  <c r="AB4" i="2" s="1"/>
  <c r="AA14" i="2"/>
  <c r="AA15" i="2"/>
  <c r="AA16" i="2"/>
  <c r="AB16" i="2"/>
  <c r="AB15" i="2"/>
  <c r="AB14" i="2"/>
  <c r="AA13" i="2"/>
  <c r="AA12" i="2"/>
  <c r="A6" i="3" a="1"/>
  <c r="A6" i="3" s="1"/>
  <c r="AB13" i="2"/>
  <c r="AB12" i="2"/>
  <c r="AF214" i="2"/>
  <c r="AB10" i="2"/>
  <c r="X18" i="2"/>
  <c r="X17" i="2"/>
  <c r="X16" i="2"/>
  <c r="AB11" i="2"/>
  <c r="X21" i="2"/>
  <c r="X20" i="2"/>
  <c r="AA11" i="2"/>
  <c r="X19" i="2"/>
  <c r="AA10" i="2"/>
  <c r="AF213" i="2"/>
  <c r="AF212" i="2"/>
  <c r="AF211" i="2"/>
  <c r="AF209" i="2"/>
  <c r="I32" i="2"/>
  <c r="G31" i="2"/>
  <c r="H32" i="2"/>
  <c r="F31" i="2"/>
  <c r="G32" i="2"/>
  <c r="L30" i="2"/>
  <c r="E32" i="2"/>
  <c r="F32" i="2"/>
  <c r="J30" i="2"/>
  <c r="E31" i="2"/>
  <c r="L31" i="2"/>
  <c r="I30" i="2"/>
  <c r="E30" i="2"/>
  <c r="J31" i="2"/>
  <c r="H30" i="2"/>
  <c r="L32" i="2"/>
  <c r="I31" i="2"/>
  <c r="G30" i="2"/>
  <c r="J32" i="2"/>
  <c r="H31" i="2"/>
  <c r="F30" i="2"/>
  <c r="X11" i="2"/>
  <c r="AA9" i="2"/>
  <c r="X10" i="2"/>
  <c r="AA8" i="2"/>
  <c r="X9" i="2"/>
  <c r="X15" i="2"/>
  <c r="X14" i="2"/>
  <c r="X13" i="2"/>
  <c r="AB9" i="2"/>
  <c r="X12" i="2"/>
  <c r="AB8" i="2"/>
  <c r="AI216" i="2"/>
  <c r="AI212" i="2"/>
  <c r="AI215" i="2"/>
  <c r="AI211" i="2"/>
  <c r="AI210" i="2"/>
  <c r="AI213" i="2"/>
  <c r="AI214" i="2"/>
  <c r="AI217" i="2"/>
  <c r="G28" i="2"/>
  <c r="H13" i="2"/>
  <c r="I7" i="2"/>
  <c r="E24" i="2"/>
  <c r="F7" i="2"/>
  <c r="G27" i="2"/>
  <c r="H12" i="2"/>
  <c r="L28" i="2"/>
  <c r="E10" i="2"/>
  <c r="L29" i="2"/>
  <c r="J9" i="2"/>
  <c r="E22" i="2"/>
  <c r="H28" i="2"/>
  <c r="I19" i="2"/>
  <c r="J8" i="2"/>
  <c r="E21" i="2"/>
  <c r="H27" i="2"/>
  <c r="I18" i="2"/>
  <c r="I20" i="2"/>
  <c r="F6" i="2"/>
  <c r="E16" i="2"/>
  <c r="H21" i="2"/>
  <c r="I17" i="2"/>
  <c r="AB7" i="2"/>
  <c r="J29" i="2"/>
  <c r="AA7" i="2"/>
  <c r="I29" i="2"/>
  <c r="G22" i="2"/>
  <c r="H10" i="2"/>
  <c r="L27" i="2"/>
  <c r="H29" i="2"/>
  <c r="F28" i="2"/>
  <c r="H9" i="2"/>
  <c r="L12" i="2"/>
  <c r="J20" i="2"/>
  <c r="L10" i="2"/>
  <c r="G29" i="2"/>
  <c r="F29" i="2"/>
  <c r="G21" i="2"/>
  <c r="J28" i="2"/>
  <c r="L21" i="2"/>
  <c r="F27" i="2"/>
  <c r="G20" i="2"/>
  <c r="J27" i="2"/>
  <c r="F18" i="2"/>
  <c r="G18" i="2"/>
  <c r="E28" i="2"/>
  <c r="F13" i="2"/>
  <c r="G9" i="2"/>
  <c r="I28" i="2"/>
  <c r="J11" i="2"/>
  <c r="L9" i="2"/>
  <c r="E27" i="2"/>
  <c r="F8" i="2"/>
  <c r="I27" i="2"/>
  <c r="J10" i="2"/>
  <c r="L8" i="2"/>
  <c r="D3" i="2"/>
  <c r="AI204" i="2" s="1"/>
  <c r="L22" i="2"/>
  <c r="J21" i="2"/>
  <c r="I8" i="2"/>
  <c r="H22" i="2"/>
  <c r="G10" i="2"/>
  <c r="F19" i="2"/>
  <c r="E12" i="2"/>
  <c r="J5" i="2"/>
  <c r="H25" i="2"/>
  <c r="F4" i="2"/>
  <c r="E14" i="2"/>
  <c r="L6" i="2"/>
  <c r="J6" i="2"/>
  <c r="J24" i="2"/>
  <c r="I16" i="2"/>
  <c r="H4" i="2"/>
  <c r="H26" i="2"/>
  <c r="G17" i="2"/>
  <c r="F5" i="2"/>
  <c r="F26" i="2"/>
  <c r="E15" i="2"/>
  <c r="L24" i="2"/>
  <c r="J22" i="2"/>
  <c r="I13" i="2"/>
  <c r="H24" i="2"/>
  <c r="G11" i="2"/>
  <c r="F20" i="2"/>
  <c r="E13" i="2"/>
  <c r="L5" i="2"/>
  <c r="J23" i="2"/>
  <c r="I14" i="2"/>
  <c r="G12" i="2"/>
  <c r="F25" i="2"/>
  <c r="E9" i="2"/>
  <c r="F17" i="2"/>
  <c r="G8" i="2"/>
  <c r="H16" i="2"/>
  <c r="I6" i="2"/>
  <c r="J18" i="2"/>
  <c r="L20" i="2"/>
  <c r="E26" i="2"/>
  <c r="E4" i="2"/>
  <c r="F16" i="2"/>
  <c r="G24" i="2"/>
  <c r="G6" i="2"/>
  <c r="H15" i="2"/>
  <c r="I26" i="2"/>
  <c r="I5" i="2"/>
  <c r="J17" i="2"/>
  <c r="L18" i="2"/>
  <c r="E25" i="2"/>
  <c r="F14" i="2"/>
  <c r="G23" i="2"/>
  <c r="G5" i="2"/>
  <c r="H14" i="2"/>
  <c r="I25" i="2"/>
  <c r="I4" i="2"/>
  <c r="J12" i="2"/>
  <c r="L17" i="2"/>
  <c r="X8" i="2"/>
  <c r="E23" i="2"/>
  <c r="E11" i="2"/>
  <c r="F15" i="2"/>
  <c r="G19" i="2"/>
  <c r="G7" i="2"/>
  <c r="H23" i="2"/>
  <c r="H11" i="2"/>
  <c r="I15" i="2"/>
  <c r="J19" i="2"/>
  <c r="J7" i="2"/>
  <c r="L19" i="2"/>
  <c r="L7" i="2"/>
  <c r="X7" i="2"/>
  <c r="E20" i="2"/>
  <c r="L16" i="2"/>
  <c r="L4" i="2"/>
  <c r="X6" i="2"/>
  <c r="X5" i="2"/>
  <c r="E19" i="2"/>
  <c r="E7" i="2"/>
  <c r="F23" i="2"/>
  <c r="F11" i="2"/>
  <c r="G15" i="2"/>
  <c r="H19" i="2"/>
  <c r="H7" i="2"/>
  <c r="I23" i="2"/>
  <c r="I11" i="2"/>
  <c r="J15" i="2"/>
  <c r="L15" i="2"/>
  <c r="AA6" i="2"/>
  <c r="F12" i="2"/>
  <c r="G4" i="2"/>
  <c r="H20" i="2"/>
  <c r="J16" i="2"/>
  <c r="E18" i="2"/>
  <c r="E6" i="2"/>
  <c r="F22" i="2"/>
  <c r="F10" i="2"/>
  <c r="G26" i="2"/>
  <c r="G14" i="2"/>
  <c r="H18" i="2"/>
  <c r="H6" i="2"/>
  <c r="I22" i="2"/>
  <c r="I10" i="2"/>
  <c r="J26" i="2"/>
  <c r="J14" i="2"/>
  <c r="L26" i="2"/>
  <c r="L14" i="2"/>
  <c r="AA5" i="2"/>
  <c r="E8" i="2"/>
  <c r="F24" i="2"/>
  <c r="G16" i="2"/>
  <c r="H8" i="2"/>
  <c r="I24" i="2"/>
  <c r="I12" i="2"/>
  <c r="J4" i="2"/>
  <c r="E17" i="2"/>
  <c r="E5" i="2"/>
  <c r="F21" i="2"/>
  <c r="F9" i="2"/>
  <c r="G25" i="2"/>
  <c r="G13" i="2"/>
  <c r="H17" i="2"/>
  <c r="H5" i="2"/>
  <c r="I21" i="2"/>
  <c r="I9" i="2"/>
  <c r="J25" i="2"/>
  <c r="J13" i="2"/>
  <c r="L25" i="2"/>
  <c r="L13" i="2"/>
  <c r="AA4" i="2"/>
  <c r="AB6" i="2"/>
  <c r="AB5" i="2"/>
  <c r="L23" i="2"/>
  <c r="L11" i="2"/>
  <c r="J3" i="2" l="1"/>
  <c r="AG204" i="2" s="1"/>
  <c r="F3" i="2"/>
  <c r="AC204" i="2" s="1"/>
  <c r="I3" i="2"/>
  <c r="AF204" i="2" s="1"/>
  <c r="K20" i="2"/>
  <c r="G3" i="2"/>
  <c r="AD204" i="2" s="1"/>
  <c r="K8" i="2"/>
  <c r="K30" i="2"/>
  <c r="K32" i="2"/>
  <c r="K31" i="2"/>
  <c r="K24" i="2"/>
  <c r="K16" i="2"/>
  <c r="K12" i="2"/>
  <c r="K9" i="2"/>
  <c r="K21" i="2"/>
  <c r="K26" i="2"/>
  <c r="K10" i="2"/>
  <c r="K28" i="2"/>
  <c r="K13" i="2"/>
  <c r="K6" i="2"/>
  <c r="K18" i="2"/>
  <c r="K29" i="2"/>
  <c r="K14" i="2"/>
  <c r="K27" i="2"/>
  <c r="K5" i="2"/>
  <c r="K17" i="2"/>
  <c r="K4" i="2"/>
  <c r="K19" i="2"/>
  <c r="K11" i="2"/>
  <c r="K7" i="2"/>
  <c r="K25" i="2"/>
  <c r="K23" i="2"/>
  <c r="K15" i="2"/>
  <c r="K22" i="2"/>
  <c r="L3" i="2"/>
  <c r="H3" i="2"/>
  <c r="AE204" i="2" s="1"/>
  <c r="E3" i="2"/>
  <c r="AB204" i="2" s="1"/>
  <c r="K3" i="2" l="1"/>
  <c r="AH204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C36ACE6-881D-D04C-B071-6441F32A197C}" name="message" type="6" refreshedVersion="8" background="1" saveData="1">
    <textPr sourceFile="/Users/chris/Downloads/message.txt" thousands="'">
      <textFields count="20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<sst xmlns="http://schemas.openxmlformats.org/spreadsheetml/2006/main" count="3583" uniqueCount="680">
  <si>
    <t>player</t>
  </si>
  <si>
    <t>date</t>
  </si>
  <si>
    <t>time</t>
  </si>
  <si>
    <t>item</t>
  </si>
  <si>
    <t>itemID</t>
  </si>
  <si>
    <t>itemString</t>
  </si>
  <si>
    <t>response</t>
  </si>
  <si>
    <t>votes</t>
  </si>
  <si>
    <t>class</t>
  </si>
  <si>
    <t>instance</t>
  </si>
  <si>
    <t>boss</t>
  </si>
  <si>
    <t>gear1</t>
  </si>
  <si>
    <t>gear2</t>
  </si>
  <si>
    <t>responseID</t>
  </si>
  <si>
    <t>isAwardReason</t>
  </si>
  <si>
    <t>rollType</t>
  </si>
  <si>
    <t>subType</t>
  </si>
  <si>
    <t>equipLoc</t>
  </si>
  <si>
    <t>note</t>
  </si>
  <si>
    <t>owner</t>
  </si>
  <si>
    <t>RaidDate</t>
  </si>
  <si>
    <t>Klaaw-Thunderstrike</t>
  </si>
  <si>
    <t>item:30241::::::::70</t>
  </si>
  <si>
    <t>BiS</t>
  </si>
  <si>
    <t>HUNTER</t>
  </si>
  <si>
    <t>Leotheras der Blinde</t>
  </si>
  <si>
    <t>normal</t>
  </si>
  <si>
    <t>Armor Token</t>
  </si>
  <si>
    <t>Heislbärt-Thunderstrike</t>
  </si>
  <si>
    <t>Alàén-Thunderstrike</t>
  </si>
  <si>
    <t>item:30054::::::::70</t>
  </si>
  <si>
    <t>Upgrade</t>
  </si>
  <si>
    <t>PALADIN</t>
  </si>
  <si>
    <t>Tiefenlord Karathress</t>
  </si>
  <si>
    <t>Mail</t>
  </si>
  <si>
    <t>Chest</t>
  </si>
  <si>
    <t>item:30065::::::::70</t>
  </si>
  <si>
    <t>Offspecc</t>
  </si>
  <si>
    <t>Plate</t>
  </si>
  <si>
    <t>item:30061::::::::70</t>
  </si>
  <si>
    <t>2nd BiS</t>
  </si>
  <si>
    <t>Miscellaneous</t>
  </si>
  <si>
    <t>Finger</t>
  </si>
  <si>
    <t>item:30090::::::::70</t>
  </si>
  <si>
    <t>Two-Handed Maces</t>
  </si>
  <si>
    <t>Two-Hand</t>
  </si>
  <si>
    <t>Mardinez-Thunderstrike</t>
  </si>
  <si>
    <t>item:30665::::::::70</t>
  </si>
  <si>
    <t>PRIEST</t>
  </si>
  <si>
    <t>Trinket</t>
  </si>
  <si>
    <t>item:30106::::::::70</t>
  </si>
  <si>
    <t>DRUID</t>
  </si>
  <si>
    <t>Lady Vashj</t>
  </si>
  <si>
    <t>Leather</t>
  </si>
  <si>
    <t>Waist</t>
  </si>
  <si>
    <t>Zerleger-Thunderstrike</t>
  </si>
  <si>
    <t>item:30183::::::::70</t>
  </si>
  <si>
    <t>WARRIOR</t>
  </si>
  <si>
    <t>Materials</t>
  </si>
  <si>
    <t>item:30025::::::::70</t>
  </si>
  <si>
    <t>Thrown</t>
  </si>
  <si>
    <t>item:30283::::::::70</t>
  </si>
  <si>
    <t>Passen</t>
  </si>
  <si>
    <t>PASS</t>
  </si>
  <si>
    <t>Tailoring</t>
  </si>
  <si>
    <t>Tastycake-Thunderstrike</t>
  </si>
  <si>
    <t>item:30008::::::::70</t>
  </si>
  <si>
    <t>MAGE</t>
  </si>
  <si>
    <t>Neck</t>
  </si>
  <si>
    <t>Flieege-Thunderstrike</t>
  </si>
  <si>
    <t>item:30244::::::::70</t>
  </si>
  <si>
    <t>WARLOCK</t>
  </si>
  <si>
    <t>Oßa-Thunderstrike</t>
  </si>
  <si>
    <t>item:30245::::::::70</t>
  </si>
  <si>
    <t>SHAMAN</t>
  </si>
  <si>
    <t>item:30097::::::::70</t>
  </si>
  <si>
    <t>Shoulder</t>
  </si>
  <si>
    <t>Keindaemon-Thunderstrike</t>
  </si>
  <si>
    <t>item:30664::::::::70</t>
  </si>
  <si>
    <t>Ribsz-Thunderstrike</t>
  </si>
  <si>
    <t>Zzou-Thunderstrike</t>
  </si>
  <si>
    <t>item:30052::::::::70</t>
  </si>
  <si>
    <t>bis #1 sv</t>
  </si>
  <si>
    <t>Zabipala-Thunderstrike</t>
  </si>
  <si>
    <t>item:30239::::::::70</t>
  </si>
  <si>
    <t>item:30242::::::::70</t>
  </si>
  <si>
    <t>Xænd-Thunderstrike</t>
  </si>
  <si>
    <t>item:30081::::::::70</t>
  </si>
  <si>
    <t>Feet</t>
  </si>
  <si>
    <t>Tommypenn-Thunderstrike</t>
  </si>
  <si>
    <t>item:30023::::::::70</t>
  </si>
  <si>
    <t>Totems</t>
  </si>
  <si>
    <t>Relic</t>
  </si>
  <si>
    <t>Spewspew-Thunderstrike</t>
  </si>
  <si>
    <t>item:30720::::::::70</t>
  </si>
  <si>
    <t>Mommyfrieren-Thunderstrike</t>
  </si>
  <si>
    <t>item:30109::::::::70</t>
  </si>
  <si>
    <t>Gerdarogers-Thunderstrike</t>
  </si>
  <si>
    <t>Lilyasx-Thunderstrike</t>
  </si>
  <si>
    <t>item:30029::::::::70</t>
  </si>
  <si>
    <t>Tempest Keep-25 Player</t>
  </si>
  <si>
    <t>Kael'thas Sunstrider</t>
  </si>
  <si>
    <t>Hands</t>
  </si>
  <si>
    <t>super low prio</t>
  </si>
  <si>
    <t>Fetzine-Thunderstrike</t>
  </si>
  <si>
    <t>item:29949::::::::70</t>
  </si>
  <si>
    <t>Guns</t>
  </si>
  <si>
    <t>Ranged</t>
  </si>
  <si>
    <t>item:29983::::::::70</t>
  </si>
  <si>
    <t>Head</t>
  </si>
  <si>
    <t>item:30249::::::::70</t>
  </si>
  <si>
    <t>item:29918::::::::70</t>
  </si>
  <si>
    <t>Cloth</t>
  </si>
  <si>
    <t>Wrist</t>
  </si>
  <si>
    <t>item:32267::::::::70</t>
  </si>
  <si>
    <t>item:30028::::::::70</t>
  </si>
  <si>
    <t>item:29924::::::::70</t>
  </si>
  <si>
    <t>One-Handed Axes</t>
  </si>
  <si>
    <t>One-Hand</t>
  </si>
  <si>
    <t>item:29950::::::::70</t>
  </si>
  <si>
    <t>Legs</t>
  </si>
  <si>
    <t>item:30322::::::::70</t>
  </si>
  <si>
    <t>Blacksmithing</t>
  </si>
  <si>
    <t>item:30250::::::::70</t>
  </si>
  <si>
    <t>Tuarendrood-Thunderstrike</t>
  </si>
  <si>
    <t>item:30449::::::::70</t>
  </si>
  <si>
    <t>Mokrash-Thunderstrike</t>
  </si>
  <si>
    <t>item:30055::::::::70</t>
  </si>
  <si>
    <t>Morogrim Gezeitenwandler</t>
  </si>
  <si>
    <t>item:30246::::::::70</t>
  </si>
  <si>
    <t>Bigfutti-Thunderstrike</t>
  </si>
  <si>
    <t>item:30240::::::::70</t>
  </si>
  <si>
    <t>item:30099::::::::70</t>
  </si>
  <si>
    <t>item:30096::::::::70</t>
  </si>
  <si>
    <t>item:30079::::::::70</t>
  </si>
  <si>
    <t>WAIT</t>
  </si>
  <si>
    <t>item:33054::::::::70</t>
  </si>
  <si>
    <t>item:30082::::::::70</t>
  </si>
  <si>
    <t>One-Handed Swords</t>
  </si>
  <si>
    <t>item:32516::::::::70</t>
  </si>
  <si>
    <t>item:30247::::::::70</t>
  </si>
  <si>
    <t>Supmyaeth-Thunderstrike</t>
  </si>
  <si>
    <t>item:30060::::::::70</t>
  </si>
  <si>
    <t>Reezø-Thunderstrike</t>
  </si>
  <si>
    <t>item:30084::::::::70</t>
  </si>
  <si>
    <t>braucht ja sonst nieman</t>
  </si>
  <si>
    <t>item:29992::::::::70</t>
  </si>
  <si>
    <t>Back</t>
  </si>
  <si>
    <t>item:29984::::::::70</t>
  </si>
  <si>
    <t>2nd bis nach crafted belt - bis pvp außerdem</t>
  </si>
  <si>
    <t>item:30238::::::::70</t>
  </si>
  <si>
    <t>item:29951::::::::70</t>
  </si>
  <si>
    <t>item:29947::::::::70</t>
  </si>
  <si>
    <t>Aethrîa-Thunderstrike</t>
  </si>
  <si>
    <t>item:29972::::::::70</t>
  </si>
  <si>
    <t>item:30237::::::::70</t>
  </si>
  <si>
    <t>item:29920::::::::70</t>
  </si>
  <si>
    <t>Grathmok-Thunderstrike</t>
  </si>
  <si>
    <t>item:30026::::::::70</t>
  </si>
  <si>
    <t>item:30447::::::::70</t>
  </si>
  <si>
    <t>Pass</t>
  </si>
  <si>
    <t>item:32405::::::::70</t>
  </si>
  <si>
    <t>Junk</t>
  </si>
  <si>
    <t>Hutro-Thunderstrike</t>
  </si>
  <si>
    <t>item:29962::::::::70</t>
  </si>
  <si>
    <t>ROGUE</t>
  </si>
  <si>
    <t>Daggers</t>
  </si>
  <si>
    <t>Actitibe-Thunderstrike</t>
  </si>
  <si>
    <t>item:30075::::::::70</t>
  </si>
  <si>
    <t>item:28822::::::::70</t>
  </si>
  <si>
    <t>Gruul der Drachenschlächter</t>
  </si>
  <si>
    <t>item:29762::::::::70</t>
  </si>
  <si>
    <t>item:29765::::::::70</t>
  </si>
  <si>
    <t>Magtheridon</t>
  </si>
  <si>
    <t>Das Grauen aus der Tiefe</t>
  </si>
  <si>
    <t>item:30626::::::::70</t>
  </si>
  <si>
    <t>item:29753::::::::70</t>
  </si>
  <si>
    <t>item:32386::::::::70</t>
  </si>
  <si>
    <t>item:30108::::::::70</t>
  </si>
  <si>
    <t>One-Handed Maces</t>
  </si>
  <si>
    <t>Main Hand</t>
  </si>
  <si>
    <t>item:28799::::::::70</t>
  </si>
  <si>
    <t>Shreklich-Thunderstrike</t>
  </si>
  <si>
    <t>item:29764::::::::70</t>
  </si>
  <si>
    <t>item:28774::::::::70</t>
  </si>
  <si>
    <t>Polearms</t>
  </si>
  <si>
    <t>item:30629::::::::70</t>
  </si>
  <si>
    <t>Hydross der Unstete</t>
  </si>
  <si>
    <t>item:30027::::::::70</t>
  </si>
  <si>
    <t>item:30050::::::::70</t>
  </si>
  <si>
    <t>Hab aktuell arsch Schuhe, aber nur Rezept ist BiS, big upgr</t>
  </si>
  <si>
    <t>item:28830::::::::70</t>
  </si>
  <si>
    <t>item:30063::::::::70</t>
  </si>
  <si>
    <t>Librams</t>
  </si>
  <si>
    <t>item:29763::::::::70</t>
  </si>
  <si>
    <t>item:29766::::::::70</t>
  </si>
  <si>
    <t>NOTHING</t>
  </si>
  <si>
    <t>item:30058::::::::70</t>
  </si>
  <si>
    <t>item:28789::::::::70</t>
  </si>
  <si>
    <t>item:29993::::::::70</t>
  </si>
  <si>
    <t>Unbekannt</t>
  </si>
  <si>
    <t>Two-Handed Swords</t>
  </si>
  <si>
    <t>Mahway-Thunderstrike</t>
  </si>
  <si>
    <t>Leerhäscher</t>
  </si>
  <si>
    <t>item:29987::::::::70</t>
  </si>
  <si>
    <t>Al'ar</t>
  </si>
  <si>
    <t>4er Bonus inc</t>
  </si>
  <si>
    <t>4er bonus damit i des huans blaue set ablegen kann :D</t>
  </si>
  <si>
    <t>item:29922::::::::70</t>
  </si>
  <si>
    <t>item:30448::::::::70</t>
  </si>
  <si>
    <t>item:30248::::::::70</t>
  </si>
  <si>
    <t>Player Loot Lookup</t>
  </si>
  <si>
    <t>Players (helper)</t>
  </si>
  <si>
    <t>Select Player:</t>
  </si>
  <si>
    <t>Item</t>
  </si>
  <si>
    <t>Instance</t>
  </si>
  <si>
    <t>Date</t>
  </si>
  <si>
    <t>Time</t>
  </si>
  <si>
    <t>Response</t>
  </si>
  <si>
    <t>Loot Council Dashboard</t>
  </si>
  <si>
    <t>Items &amp; Response by Player</t>
  </si>
  <si>
    <t>Player</t>
  </si>
  <si>
    <t>Total</t>
  </si>
  <si>
    <t>Other</t>
  </si>
  <si>
    <t>Class</t>
  </si>
  <si>
    <t>Items by Boss</t>
  </si>
  <si>
    <t>Items per Raid</t>
  </si>
  <si>
    <t>Total items awarded</t>
  </si>
  <si>
    <t>Boss</t>
  </si>
  <si>
    <t>Items</t>
  </si>
  <si>
    <t>Raid Date</t>
  </si>
  <si>
    <t>Unique players</t>
  </si>
  <si>
    <t>Raid days</t>
  </si>
  <si>
    <t>First raid</t>
  </si>
  <si>
    <t>Last raid</t>
  </si>
  <si>
    <t>Bosses killed (loot from)</t>
  </si>
  <si>
    <t>Total (all players)</t>
  </si>
  <si>
    <t>Items by Response</t>
  </si>
  <si>
    <t>Items by Class</t>
  </si>
  <si>
    <t>% of total</t>
  </si>
  <si>
    <t>Pending</t>
  </si>
  <si>
    <t>Coilfang: Serpentshrine Cavern-25 Player</t>
  </si>
  <si>
    <t>Hydross the Unstable</t>
  </si>
  <si>
    <t>item:29986::::::::70</t>
  </si>
  <si>
    <t>Sanderon-Thunderstrike</t>
  </si>
  <si>
    <t>item:30100::::::::70</t>
  </si>
  <si>
    <t>Fathom-Lord Karathress</t>
  </si>
  <si>
    <t>Kael'thas Sonnenwanderer</t>
  </si>
  <si>
    <t>Wands</t>
  </si>
  <si>
    <t>Morogrim Tidewalker</t>
  </si>
  <si>
    <t>item:28794::::::::70</t>
  </si>
  <si>
    <t>Two-Handed Axes</t>
  </si>
  <si>
    <t>item:29767::::::::70</t>
  </si>
  <si>
    <t>item:28775::::::::70</t>
  </si>
  <si>
    <t>item:30057::::::::70</t>
  </si>
  <si>
    <t>item:28797::::::::70</t>
  </si>
  <si>
    <t>item:29982::::::::70</t>
  </si>
  <si>
    <t>Hochastromantin Solarian</t>
  </si>
  <si>
    <t>huge upgrade</t>
  </si>
  <si>
    <t>item:30302::::::::70</t>
  </si>
  <si>
    <t>The Lurker Below</t>
  </si>
  <si>
    <t>Leatherworking</t>
  </si>
  <si>
    <t>item:30066::::::::70</t>
  </si>
  <si>
    <t>item:29921::::::::70</t>
  </si>
  <si>
    <t>item:28823::::::::70</t>
  </si>
  <si>
    <t>Big Upgrade - hab noch Blues</t>
  </si>
  <si>
    <t>item:30022::::::::70</t>
  </si>
  <si>
    <t>wär sehr nices Offspec Upgrade</t>
  </si>
  <si>
    <t>item:29981::::::::70</t>
  </si>
  <si>
    <t>Staves</t>
  </si>
  <si>
    <t>Leotheras the Blind</t>
  </si>
  <si>
    <t>item:30324::::::::70</t>
  </si>
  <si>
    <t>item:30053::::::::70</t>
  </si>
  <si>
    <t>item:29754::::::::70</t>
  </si>
  <si>
    <t>item:29988::::::::70</t>
  </si>
  <si>
    <t>item:28800::::::::70</t>
  </si>
  <si>
    <t>item:30112::::::::70</t>
  </si>
  <si>
    <t>item:29965::::::::70</t>
  </si>
  <si>
    <t>Desquite-Thunderstrike</t>
  </si>
  <si>
    <t>item:33058::::::::70</t>
  </si>
  <si>
    <t>item:29997::::::::70</t>
  </si>
  <si>
    <t>item:30236::::::::70</t>
  </si>
  <si>
    <t>Held In Off-hand</t>
  </si>
  <si>
    <t>item:30306::::::::70</t>
  </si>
  <si>
    <t>item:30048::::::::70</t>
  </si>
  <si>
    <t>item:30049::::::::70</t>
  </si>
  <si>
    <t>Void Reaver</t>
  </si>
  <si>
    <t>High Astromancer Solarian</t>
  </si>
  <si>
    <t>Gloves of the Vanquished Hero</t>
  </si>
  <si>
    <t>Chestguard of the Ranger-General</t>
  </si>
  <si>
    <t>Brighthelm of Justice</t>
  </si>
  <si>
    <t>Ancestral Ring of Conquest</t>
  </si>
  <si>
    <t>World Breaker</t>
  </si>
  <si>
    <t>Earring of Soulful Meditation</t>
  </si>
  <si>
    <t>Belt of One-Hundred Deaths</t>
  </si>
  <si>
    <t>Nether Vortex</t>
  </si>
  <si>
    <t>Serpentshrine Shuriken</t>
  </si>
  <si>
    <t>Pattern: Boots of the Long Road</t>
  </si>
  <si>
    <t>Pendant of Long Lost Memories</t>
  </si>
  <si>
    <t>Helm of the Vanquished Hero</t>
  </si>
  <si>
    <t>Leggings of the Vanquished Champion</t>
  </si>
  <si>
    <t>Spiked Coral Shoulderpads</t>
  </si>
  <si>
    <t>Living Root of the Wildheart</t>
  </si>
  <si>
    <t>Ring of Lethality</t>
  </si>
  <si>
    <t>Gloves of the Vanquished Champion</t>
  </si>
  <si>
    <t>Helm of the Vanquished Champion</t>
  </si>
  <si>
    <t>Warboots of Obliteration</t>
  </si>
  <si>
    <t>Totem of the Maelstrom</t>
  </si>
  <si>
    <t>Serpent-Coil Braid</t>
  </si>
  <si>
    <t>Ring of the Endless Coils</t>
  </si>
  <si>
    <t>Bark-Gloves of Ancient Wisdom</t>
  </si>
  <si>
    <t>Arcanite Steam-Pistol</t>
  </si>
  <si>
    <t>Fel-Steel Warhelm</t>
  </si>
  <si>
    <t>Pauldrons of the Vanquished Defender</t>
  </si>
  <si>
    <t>Mindstorm Wristbands</t>
  </si>
  <si>
    <t>Boots of the Resilient</t>
  </si>
  <si>
    <t>Seventh Ring of the Tirisfalen</t>
  </si>
  <si>
    <t>Netherbane</t>
  </si>
  <si>
    <t>Greaves of the Bloodwarder</t>
  </si>
  <si>
    <t>Plans: Red Belt of Battle</t>
  </si>
  <si>
    <t>Pauldrons of the Vanquished Hero</t>
  </si>
  <si>
    <t>Void Star Talisman</t>
  </si>
  <si>
    <t>Shoulderpads of the Stranger</t>
  </si>
  <si>
    <t>Leggings of the Vanquished Defender</t>
  </si>
  <si>
    <t>Gloves of the Vanquished Defender</t>
  </si>
  <si>
    <t>Frayed Tether of the Drowned</t>
  </si>
  <si>
    <t>Girdle of the Invulnerable</t>
  </si>
  <si>
    <t>Shoulderguards of the Illidari</t>
  </si>
  <si>
    <t>The Signet of Danzalar</t>
  </si>
  <si>
    <t>Talon of Azshara</t>
  </si>
  <si>
    <t>Wraps of Purification</t>
  </si>
  <si>
    <t>Leggings of the Vanquished Hero</t>
  </si>
  <si>
    <t>Boots of Effortless Striking</t>
  </si>
  <si>
    <t>Pauldrons of the Argent Sentinel</t>
  </si>
  <si>
    <t>Royal Cloak of the Sunstriders</t>
  </si>
  <si>
    <t>Girdle of Zaetar</t>
  </si>
  <si>
    <t>Chestguard of the Vanquished Hero</t>
  </si>
  <si>
    <t>Star-Strider Boots</t>
  </si>
  <si>
    <t>Gloves of the Searing Grip</t>
  </si>
  <si>
    <t>Trousers of the Astromancer</t>
  </si>
  <si>
    <t>Chestguard of the Vanquished Defender</t>
  </si>
  <si>
    <t>Phoenix-Ring of Rebirth</t>
  </si>
  <si>
    <t>Bands of the Celestial Archer</t>
  </si>
  <si>
    <t>Tome of Fiery Redemption</t>
  </si>
  <si>
    <t>Verdant Sphere</t>
  </si>
  <si>
    <t>Heartrazor</t>
  </si>
  <si>
    <t>Gnarled Chestpiece of the Ancients</t>
  </si>
  <si>
    <t>Tooth of Gruul</t>
  </si>
  <si>
    <t>Pauldrons of the Fallen Hero</t>
  </si>
  <si>
    <t>Leggings of the Fallen Hero</t>
  </si>
  <si>
    <t>Sextant of Unstable Currents</t>
  </si>
  <si>
    <t>Chestguard of the Fallen Defender</t>
  </si>
  <si>
    <t>Head of Magtheridon</t>
  </si>
  <si>
    <t>Scepter of Deepsight</t>
  </si>
  <si>
    <t>Belt of Divine Inspiration</t>
  </si>
  <si>
    <t>Pauldrons of the Fallen Defender</t>
  </si>
  <si>
    <t>Glaive of the Pit</t>
  </si>
  <si>
    <t>Scarab of Displacement</t>
  </si>
  <si>
    <t>Boots of Endless Courage</t>
  </si>
  <si>
    <t>Boots of the Shifting Nightmare</t>
  </si>
  <si>
    <t>Dragonspine Trophy</t>
  </si>
  <si>
    <t>Libram of Absolute Truth</t>
  </si>
  <si>
    <t>Pauldrons of the Fallen Champion</t>
  </si>
  <si>
    <t>Leggings of the Fallen Champion</t>
  </si>
  <si>
    <t>Hammer of the Tides</t>
  </si>
  <si>
    <t>Eye of Magtheridon</t>
  </si>
  <si>
    <t>Twinblade of the Phoenix</t>
  </si>
  <si>
    <t>Gauntlets of the Sun King</t>
  </si>
  <si>
    <t>Band of Al'ar</t>
  </si>
  <si>
    <t>Talon of Al'ar</t>
  </si>
  <si>
    <t>Pauldrons of the Vanquished Champion</t>
  </si>
  <si>
    <t>Soul-Strider Boots</t>
  </si>
  <si>
    <t>Bracers of Eradication</t>
  </si>
  <si>
    <t>Pattern: Belt of Deep Shadow</t>
  </si>
  <si>
    <t>Tempest-Strider Boots</t>
  </si>
  <si>
    <t>Pendant of the Perilous</t>
  </si>
  <si>
    <t>Plans: Red Havoc Boots</t>
  </si>
  <si>
    <t>Pauldrons of the Wardancer</t>
  </si>
  <si>
    <t>Glorious Gauntlets of Crestfall</t>
  </si>
  <si>
    <t>Band of the Vigilant</t>
  </si>
  <si>
    <t>Pattern: Boots of Utter Darkness</t>
  </si>
  <si>
    <t>Fathomstone</t>
  </si>
  <si>
    <t>Cowl of the Grand Engineer</t>
  </si>
  <si>
    <t>Axe of the Gronn Lords</t>
  </si>
  <si>
    <t>Leggings of the Fallen Defender</t>
  </si>
  <si>
    <t>Wand of the Forgotten Star</t>
  </si>
  <si>
    <t>Firecrest Breastplate</t>
  </si>
  <si>
    <t>Eye of Gruul</t>
  </si>
  <si>
    <t>Living Staff of the Astromancer</t>
  </si>
  <si>
    <t>The Nexus Key</t>
  </si>
  <si>
    <t>Hammer of the Naaru</t>
  </si>
  <si>
    <t>Girdle of the Righteous Path</t>
  </si>
  <si>
    <t>Band of the Ranger-General</t>
  </si>
  <si>
    <t>Chestguard of the Vanquished Champion</t>
  </si>
  <si>
    <t>Handguards of the Beast Lord</t>
  </si>
  <si>
    <t>Chestguard of the Conspirator</t>
  </si>
  <si>
    <t>Shapeshifter's Signet</t>
  </si>
  <si>
    <t>Gorehowl</t>
  </si>
  <si>
    <t>Essence of the Martyr</t>
  </si>
  <si>
    <t>Girdle of Treachery</t>
  </si>
  <si>
    <t>Sunfury Bow of the Phoenix</t>
  </si>
  <si>
    <t>Sethekk Prophet's Ring</t>
  </si>
  <si>
    <t>Crown of the Voidheart</t>
  </si>
  <si>
    <t>Leggings of the Heartfire</t>
  </si>
  <si>
    <t>Shoulderpads of the Hurricane</t>
  </si>
  <si>
    <t>Alchemist Stone</t>
  </si>
  <si>
    <t>Spellfire Gloves</t>
  </si>
  <si>
    <t>Violet Signet</t>
  </si>
  <si>
    <t>Legguards of the Justicar</t>
  </si>
  <si>
    <t>Handguards of the Justicar</t>
  </si>
  <si>
    <t>Panzatronic Goggles</t>
  </si>
  <si>
    <t>Ironstriders of Urgency</t>
  </si>
  <si>
    <t>Spellstrike Pants</t>
  </si>
  <si>
    <t>Icon of the Silver Crescent</t>
  </si>
  <si>
    <t>Band of the Crimson Fury</t>
  </si>
  <si>
    <t>Hallowed Handwraps</t>
  </si>
  <si>
    <t>Warbringer Greathelm</t>
  </si>
  <si>
    <t>Warbringer Shoulderguards</t>
  </si>
  <si>
    <t>Bracers of the White Stag</t>
  </si>
  <si>
    <t>Boots of the Righteous Path</t>
  </si>
  <si>
    <t>Violet Signet of the Great Protector</t>
  </si>
  <si>
    <t>Dragonmaw</t>
  </si>
  <si>
    <t>Warbringer Greaves</t>
  </si>
  <si>
    <t>Pauldrons of the Aldor</t>
  </si>
  <si>
    <t>Mitts of the Treemender</t>
  </si>
  <si>
    <t>Shoulderguards of Malorne</t>
  </si>
  <si>
    <t>Scryer's Bloodgem</t>
  </si>
  <si>
    <t>Warbringer Shoulderplates</t>
  </si>
  <si>
    <t>Stately Leggings of Might</t>
  </si>
  <si>
    <t>Gloves of Deftness</t>
  </si>
  <si>
    <t>Warlord's Iron-Girdle</t>
  </si>
  <si>
    <t>Handwraps of Flowing Thought</t>
  </si>
  <si>
    <t>Mantle of Malorne</t>
  </si>
  <si>
    <t>Signet of the Seer</t>
  </si>
  <si>
    <t>Gloves of the Aldor</t>
  </si>
  <si>
    <t>Bands of Innervation</t>
  </si>
  <si>
    <t>Zierhut's Lost Chafers</t>
  </si>
  <si>
    <t>Hallowed Pauldrons</t>
  </si>
  <si>
    <t>Farseer Cloak of Shadow Wrath</t>
  </si>
  <si>
    <t>Cincture of Will</t>
  </si>
  <si>
    <t>Beast Lord Cuirass</t>
  </si>
  <si>
    <t>Edgewalker Longboots</t>
  </si>
  <si>
    <t>Grips of Deftness</t>
  </si>
  <si>
    <t>Light-Mantle of the Incarnate</t>
  </si>
  <si>
    <t>Gladiator's Silk Amice</t>
  </si>
  <si>
    <t>Vestments of the Aldor</t>
  </si>
  <si>
    <t>Legwraps of the Aldor</t>
  </si>
  <si>
    <t>Warbringer Breastplate</t>
  </si>
  <si>
    <t>Ryngo's Band of Ingenuity</t>
  </si>
  <si>
    <t>Stalker's War Bands</t>
  </si>
  <si>
    <t>Gladiator's Slicer</t>
  </si>
  <si>
    <t>Stonebough Jerkin</t>
  </si>
  <si>
    <t>Choker of Eternal Hope</t>
  </si>
  <si>
    <t>Beast Lord Helm</t>
  </si>
  <si>
    <t>Beast Lord Mantle</t>
  </si>
  <si>
    <t>Beast Lord Leggings</t>
  </si>
  <si>
    <t>Cowl of the Defiler</t>
  </si>
  <si>
    <t>Boots of Astral Alignment</t>
  </si>
  <si>
    <t>Robe of Ancestral Writings</t>
  </si>
  <si>
    <t>Light's Justice</t>
  </si>
  <si>
    <t>Primal Mooncloth Robe</t>
  </si>
  <si>
    <t>Girdle of Ruination</t>
  </si>
  <si>
    <t>Wrathsteel Shoulders</t>
  </si>
  <si>
    <t>Defender's Brilliance</t>
  </si>
  <si>
    <t>Greaves of Malorne</t>
  </si>
  <si>
    <t>Extravagant Boots of Malice</t>
  </si>
  <si>
    <t>Handguards of Dexterity</t>
  </si>
  <si>
    <t>Hourglass of the Unraveler</t>
  </si>
  <si>
    <t>Gauntlets of Renewed Hope</t>
  </si>
  <si>
    <t>Legplates of the Innocent</t>
  </si>
  <si>
    <t>Grizzly Scaled Breastplate</t>
  </si>
  <si>
    <t>Kilt of the Timewalker</t>
  </si>
  <si>
    <t>Gauntlets of Martial Perfection</t>
  </si>
  <si>
    <t>Eye of Quagmirran</t>
  </si>
  <si>
    <t>Veteran's Ringmail Girdle</t>
  </si>
  <si>
    <t>Heavy Clefthoof Vest</t>
  </si>
  <si>
    <t>Brooch of Blood Rage</t>
  </si>
  <si>
    <t>Merciless Gladiator's Slice</t>
  </si>
  <si>
    <t>Slippers of Serenity</t>
  </si>
  <si>
    <t>Battlescar Boots</t>
  </si>
  <si>
    <t>General's Plate Bracers</t>
  </si>
  <si>
    <t>Silent Slippers of Meditation</t>
  </si>
  <si>
    <t>Shattrath Leggings</t>
  </si>
  <si>
    <t>Choker of Vile Intent</t>
  </si>
  <si>
    <t>Deathforge Girdle</t>
  </si>
  <si>
    <t>Justicar Diadem</t>
  </si>
  <si>
    <t>Crystalforge Gloves</t>
  </si>
  <si>
    <t>Spectral Band of Innervation</t>
  </si>
  <si>
    <t>Jewel of Infinite Possibilities</t>
  </si>
  <si>
    <t>Band of Eternity</t>
  </si>
  <si>
    <t>Mindwrought Headpiece</t>
  </si>
  <si>
    <t>Frozen Shadoweave Shoulders</t>
  </si>
  <si>
    <t>Frozen Shadoweave Robe</t>
  </si>
  <si>
    <t>Robes of the Incarnate</t>
  </si>
  <si>
    <t>Fel Leather Leggings</t>
  </si>
  <si>
    <t>Staff of Tirisfal Supremacy</t>
  </si>
  <si>
    <t>Ribbon of Sacrifice</t>
  </si>
  <si>
    <t>Faithful Hammer of Light</t>
  </si>
  <si>
    <t>Nathrezim Mindblade</t>
  </si>
  <si>
    <t>Pauldrons of the Justicar</t>
  </si>
  <si>
    <t>Magus Blade of the Bloodmarred</t>
  </si>
  <si>
    <t>Veteran's Ornamented Girdle</t>
  </si>
  <si>
    <t>Netherblade Shoulderpads</t>
  </si>
  <si>
    <t>Netherblade Chestpiece</t>
  </si>
  <si>
    <t>A'dal's Command</t>
  </si>
  <si>
    <t>Xi'ri's Gift</t>
  </si>
  <si>
    <t>Ring of Shadowy Doom</t>
  </si>
  <si>
    <t>The Lightning Capacitor</t>
  </si>
  <si>
    <t>Ring of Recurrence</t>
  </si>
  <si>
    <t>Ring of Unyielding Force</t>
  </si>
  <si>
    <t>Fel Edged Battleaxe</t>
  </si>
  <si>
    <t>Quagmirran's Eye</t>
  </si>
  <si>
    <t>Ashyen's Gift</t>
  </si>
  <si>
    <t>Violet Signet of the Archmage</t>
  </si>
  <si>
    <t>Figurine of the Colossus</t>
  </si>
  <si>
    <t>Latro's Shifting Sword</t>
  </si>
  <si>
    <t>Blade of the Unrequited</t>
  </si>
  <si>
    <t>Abacus of Violent Odds</t>
  </si>
  <si>
    <t>Aegis of the Sunbird</t>
  </si>
  <si>
    <t>Deepstone Core</t>
  </si>
  <si>
    <t>Defender of the Aldori Legacy</t>
  </si>
  <si>
    <t>Garona's Signet Ring</t>
  </si>
  <si>
    <t>SSC / TK Trash</t>
  </si>
  <si>
    <t>SSC Trash</t>
  </si>
  <si>
    <t>TK Trash</t>
  </si>
  <si>
    <t>Lady Vashj — name unverified</t>
  </si>
  <si>
    <t>Gruul the Dragonkiller</t>
  </si>
  <si>
    <t>High King Maulgar</t>
  </si>
  <si>
    <t>item:30102::::::::70</t>
  </si>
  <si>
    <t>Xaganat-Thunderstrike</t>
  </si>
  <si>
    <t>item:29990::::::::70</t>
  </si>
  <si>
    <t>item:30064::::::::70</t>
  </si>
  <si>
    <t>Habe 2 Teile</t>
  </si>
  <si>
    <t>BIG Need auf Hosen. 2er Boni</t>
  </si>
  <si>
    <t>gleichwertig wie die Boots bei Vash</t>
  </si>
  <si>
    <t>item:29994::::::::70</t>
  </si>
  <si>
    <t>Bis</t>
  </si>
  <si>
    <t>item:30243::::::::70</t>
  </si>
  <si>
    <t>2er boni richturteil 50 mana für gruppe</t>
  </si>
  <si>
    <t xml:space="preserve">4er setboni mit dem token hier :) </t>
  </si>
  <si>
    <t>item:32944::::::::70</t>
  </si>
  <si>
    <t>Fist Weapons</t>
  </si>
  <si>
    <t>first t5, noch blauen helm</t>
  </si>
  <si>
    <t>Kraken-Heart Breastplate</t>
  </si>
  <si>
    <t>Wildfury Breastplate</t>
  </si>
  <si>
    <t>Breastplate of the Firecrested</t>
  </si>
  <si>
    <t>Bands of the Sky-reaper</t>
  </si>
  <si>
    <t>Sunfire Crown</t>
  </si>
  <si>
    <t>Cord of Screaming Terrors</t>
  </si>
  <si>
    <t>Thalassian Wildercloak</t>
  </si>
  <si>
    <t>Helm of the Vanquished Defender</t>
  </si>
  <si>
    <t>Luminous Breastplate of Truth</t>
  </si>
  <si>
    <t>Talon of the Phoenix</t>
  </si>
  <si>
    <t>Band of the Eternal Shift</t>
  </si>
  <si>
    <t>Windshear Boots</t>
  </si>
  <si>
    <t>Cyclone Chestguard</t>
  </si>
  <si>
    <t>Soul-Eater's Handwraps</t>
  </si>
  <si>
    <t>Aldor Legwraps</t>
  </si>
  <si>
    <t>Earthblood Chestguard</t>
  </si>
  <si>
    <t>Bracers of Malice</t>
  </si>
  <si>
    <t>Spellstrike Hood</t>
  </si>
  <si>
    <t>Veteran's Mail Bracers</t>
  </si>
  <si>
    <t>Cyclone Shoulderpads</t>
  </si>
  <si>
    <t>Seer's Mail Headpiece</t>
  </si>
  <si>
    <t>Illidari Vengeance</t>
  </si>
  <si>
    <t>Gladiator's Silk Cowl</t>
  </si>
  <si>
    <t>Beast-Lord Leggings</t>
  </si>
  <si>
    <t>Boots of the Bold</t>
  </si>
  <si>
    <t>Blood Knight War Cloak</t>
  </si>
  <si>
    <t>Pendant of Thawing</t>
  </si>
  <si>
    <t>Wolfshead Helm</t>
  </si>
  <si>
    <t>Destroyer Shoulderguards</t>
  </si>
  <si>
    <t>Justicar Pauldrons</t>
  </si>
  <si>
    <t>Aldor Gloves</t>
  </si>
  <si>
    <t>Aldor Vestments</t>
  </si>
  <si>
    <t>Handwraps of the Avatar</t>
  </si>
  <si>
    <t>Breeches of the Avatar</t>
  </si>
  <si>
    <t>Shroud of the Avatar (or Vestments of the Avatar)</t>
  </si>
  <si>
    <t>Sabre-Claw Talisman</t>
  </si>
  <si>
    <t>Kilt of the Ranger-Lord</t>
  </si>
  <si>
    <t>Merciless Gladiator's Cleaver</t>
  </si>
  <si>
    <t>Cowl of the Defender</t>
  </si>
  <si>
    <t>Band of Crimson Fury</t>
  </si>
  <si>
    <t>n/a</t>
  </si>
  <si>
    <t>Gruuls Lair-25 Player</t>
  </si>
  <si>
    <t>Magtheridons' Lair-25 Player</t>
  </si>
  <si>
    <t>BiS, aber nur kleines Upgrade</t>
  </si>
  <si>
    <t>für PVP Set</t>
  </si>
  <si>
    <t>Hab no Lederarmschienen von der Maid aus Kara :|</t>
  </si>
  <si>
    <t>2er setbonus</t>
  </si>
  <si>
    <t>Hochkönig Maulgar</t>
  </si>
  <si>
    <t>fürs pvp set</t>
  </si>
  <si>
    <t>Razoga-Thunderstrike</t>
  </si>
  <si>
    <t>item:30091::::::::70</t>
  </si>
  <si>
    <t>BIS für OS. Brust/Schulter für threadgeneration.</t>
  </si>
  <si>
    <t>item:30080::::::::70</t>
  </si>
  <si>
    <t>item:29923::::::::70</t>
  </si>
  <si>
    <t>item:30103::::::::70</t>
  </si>
  <si>
    <t>item:30030::::::::70</t>
  </si>
  <si>
    <t>item:30059::::::::70</t>
  </si>
  <si>
    <t>Reazø-Thunderstrike</t>
  </si>
  <si>
    <t>letztes was fehlt</t>
  </si>
  <si>
    <t xml:space="preserve">hab offhand an mardinez gegeben </t>
  </si>
  <si>
    <t>Gorgohc-Thunderstrike</t>
  </si>
  <si>
    <t>item:29977::::::::70</t>
  </si>
  <si>
    <t>bis auch p2</t>
  </si>
  <si>
    <t>hab 3/4</t>
  </si>
  <si>
    <t>Zweites und letztes T5-Teil am Start. Danach fertig mit T5.</t>
  </si>
  <si>
    <t>item:28827::::::::70</t>
  </si>
  <si>
    <t>item:29925::::::::70</t>
  </si>
  <si>
    <t>item:30450::::::::70</t>
  </si>
  <si>
    <t>Is immer noch Bis Ring</t>
  </si>
  <si>
    <t>nur wenns kein mage/wl bräucht. zwar 4er aber schultern wichtige</t>
  </si>
  <si>
    <t>PvP wär nice</t>
  </si>
  <si>
    <t>PvP</t>
  </si>
  <si>
    <t>4 set fertig damit</t>
  </si>
  <si>
    <t>Disenchant</t>
  </si>
  <si>
    <t>Bands of the Skycutter</t>
  </si>
  <si>
    <t>Chestguard of the Fallen Champion</t>
  </si>
  <si>
    <t>Fang of Gruul</t>
  </si>
  <si>
    <t>Ogre-Magi's Banewarcloak</t>
  </si>
  <si>
    <t>Gauntlets of the Dragon Slayer</t>
  </si>
  <si>
    <t>Thundering Greathelm</t>
  </si>
  <si>
    <t>Bracers of Bloodshed</t>
  </si>
  <si>
    <t>Pauldrons of the War-Dancer</t>
  </si>
  <si>
    <t>Sure-Step Stalker Bands</t>
  </si>
  <si>
    <t>Glimmering Rod of the Naaru</t>
  </si>
  <si>
    <t>Fang of Vashj</t>
  </si>
  <si>
    <t>Choker of Living Wrath</t>
  </si>
  <si>
    <t>Greathelm of Righteous Judgement</t>
  </si>
  <si>
    <t>Band of the Watchful Eye</t>
  </si>
  <si>
    <t>Band of the Eternal Loop</t>
  </si>
  <si>
    <t>The Seventh Ring of Tirisfal</t>
  </si>
  <si>
    <t>Talisman of the Sun King</t>
  </si>
  <si>
    <t>Girdle of the Fallen Stars</t>
  </si>
  <si>
    <t>Barkgloves of Ancient Wisdom</t>
  </si>
  <si>
    <t>Phoenix-Wing Cloak</t>
  </si>
  <si>
    <t>Trousers of the Star-Soul</t>
  </si>
  <si>
    <t>Coil of the Warp-Siphon</t>
  </si>
  <si>
    <t>N/A</t>
  </si>
  <si>
    <t>Destroyer Greaves</t>
  </si>
  <si>
    <t>Gloves of Tirisfal</t>
  </si>
  <si>
    <t>Warlord's Plate Bracers</t>
  </si>
  <si>
    <t>Cyclone Breastplate</t>
  </si>
  <si>
    <t>Malorne's Chestguard</t>
  </si>
  <si>
    <t>Nordrassil Life-Mantle</t>
  </si>
  <si>
    <t>Veteran's Pendant of Salvation</t>
  </si>
  <si>
    <t>Wrap of Shifting Probability</t>
  </si>
  <si>
    <t>Justicar Shoulderguards</t>
  </si>
  <si>
    <t>Crystalforge Handguards</t>
  </si>
  <si>
    <t>Crystalforge Legguards</t>
  </si>
  <si>
    <t>Crystalforge Faceguard</t>
  </si>
  <si>
    <t>Nightstalker Wristguards</t>
  </si>
  <si>
    <t>Collar of the Aldor</t>
  </si>
  <si>
    <t>Trousers of the Trial</t>
  </si>
  <si>
    <t>Heart-Flame Leggings</t>
  </si>
  <si>
    <t>Justicar Shoulderplates</t>
  </si>
  <si>
    <t>Black Felsteel Bracers</t>
  </si>
  <si>
    <t>Blue Diamond Hexstaff</t>
  </si>
  <si>
    <t>Warbringer Legguards</t>
  </si>
  <si>
    <t>Dragonstrike</t>
  </si>
  <si>
    <t>Destroyer Battle-Helm</t>
  </si>
  <si>
    <t>Crusader's Ornamented Headpiece</t>
  </si>
  <si>
    <t>Crusader's Ornamented Gloves</t>
  </si>
  <si>
    <t>Wraps of Flowing Thought</t>
  </si>
  <si>
    <t>Gloves of Deft Manipulation</t>
  </si>
  <si>
    <t>Warbringer Battle-Helm</t>
  </si>
  <si>
    <t>Red Belt of Battle</t>
  </si>
  <si>
    <t>Windcaller's Orb</t>
  </si>
  <si>
    <t>Shadecloak of Dalaran</t>
  </si>
  <si>
    <t>Brooch of Bloodlust</t>
  </si>
  <si>
    <t>World-Walker's Wildercloak</t>
  </si>
  <si>
    <t>Belt of the Gale</t>
  </si>
  <si>
    <t>Ruby Drape of the Mysticant</t>
  </si>
  <si>
    <t>Astromancer's Leggings</t>
  </si>
  <si>
    <t>Corruptor Leggings</t>
  </si>
  <si>
    <t>Jade Ring of the Everliving</t>
  </si>
  <si>
    <t>Gladiator's Cleaver</t>
  </si>
  <si>
    <t>Ancestral Band of Conquest</t>
  </si>
  <si>
    <t>Timelapse Shard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</si>
</sst>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0.0%"/>
    <numFmt numFmtId="166" formatCode="m/d/yyyy"/>
    <numFmt numFmtId="167" formatCode="h:mm:ss"/>
  </numFmts>
  <fonts count="9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8"/>
      <color rgb="FFFFFFFF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2"/>
      <color rgb="FFBBBBBB"/>
      <name val="Aptos Narrow"/>
      <family val="2"/>
      <scheme val="minor"/>
    </font>
    <font>
      <sz val="12"/>
      <color rgb="FFBBBBBB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14" fontId="0" fillId="0" borderId="0" xfId="0" applyNumberFormat="1"/>
    <xf numFmtId="21" fontId="0" fillId="0" borderId="0" xfId="0" applyNumberFormat="1"/>
    <xf numFmtId="0" fontId="1" fillId="0" borderId="0" xfId="0" applyFont="1"/>
    <xf numFmtId="164" fontId="0" fillId="0" borderId="0" xfId="0" applyNumberFormat="1"/>
    <xf numFmtId="0" fontId="2" fillId="2" borderId="0" xfId="0" applyFont="1" applyFill="1"/>
    <xf numFmtId="0" fontId="1" fillId="3" borderId="0" xfId="0" applyFont="1" applyFill="1"/>
    <xf numFmtId="0" fontId="3" fillId="0" borderId="0" xfId="0" applyFont="1"/>
    <xf numFmtId="164" fontId="3" fillId="0" borderId="0" xfId="0" applyNumberFormat="1" applyFont="1"/>
    <xf numFmtId="0" fontId="4" fillId="2" borderId="0" xfId="0" applyFont="1" applyFill="1"/>
    <xf numFmtId="0" fontId="1" fillId="4" borderId="0" xfId="0" applyFont="1" applyFill="1"/>
    <xf numFmtId="0" fontId="0" fillId="0" borderId="0" xfId="0" applyAlignment="1">
      <alignment horizontal="center"/>
    </xf>
    <xf numFmtId="0" fontId="1" fillId="4" borderId="0" xfId="0" applyFont="1" applyFill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/>
    <xf numFmtId="0" fontId="5" fillId="2" borderId="0" xfId="0" applyFont="1" applyFill="1"/>
    <xf numFmtId="165" fontId="0" fillId="0" borderId="0" xfId="0" applyNumberFormat="1" applyAlignment="1">
      <alignment horizontal="center"/>
    </xf>
    <xf numFmtId="0" fontId="6" fillId="0" borderId="0" xfId="0" applyFont="1"/>
    <xf numFmtId="0" fontId="1" fillId="5" borderId="1" xfId="0" applyFont="1" applyFill="1" applyBorder="1"/>
    <xf numFmtId="0" fontId="5" fillId="6" borderId="0" xfId="0" applyFont="1" applyFill="1"/>
    <xf numFmtId="166" fontId="0" fillId="0" borderId="0" xfId="0" applyNumberFormat="1"/>
    <xf numFmtId="167" fontId="0" fillId="0" borderId="0" xfId="0" applyNumberFormat="1"/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Items Awarded per Player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Items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C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[0]!chartPlayerNames</c:f>
              <c:strCache>
                <c:ptCount val="36"/>
                <c:pt idx="0">
                  <c:v>Actitibe-Thunderstrike</c:v>
                </c:pt>
                <c:pt idx="1">
                  <c:v>Aethrîa-Thunderstrike</c:v>
                </c:pt>
                <c:pt idx="2">
                  <c:v>Alàén-Thunderstrike</c:v>
                </c:pt>
                <c:pt idx="3">
                  <c:v>Bigfutti-Thunderstrike</c:v>
                </c:pt>
                <c:pt idx="4">
                  <c:v>Desquite-Thunderstrike</c:v>
                </c:pt>
                <c:pt idx="5">
                  <c:v>Fetzine-Thunderstrike</c:v>
                </c:pt>
                <c:pt idx="6">
                  <c:v>Flieege-Thunderstrike</c:v>
                </c:pt>
                <c:pt idx="7">
                  <c:v>Gerdarogers-Thunderstrike</c:v>
                </c:pt>
                <c:pt idx="8">
                  <c:v>Gorgohc-Thunderstrike</c:v>
                </c:pt>
                <c:pt idx="9">
                  <c:v>Grathmok-Thunderstrike</c:v>
                </c:pt>
                <c:pt idx="10">
                  <c:v>Heislbärt-Thunderstrike</c:v>
                </c:pt>
                <c:pt idx="11">
                  <c:v>Hutro-Thunderstrike</c:v>
                </c:pt>
                <c:pt idx="12">
                  <c:v>Keindaemon-Thunderstrike</c:v>
                </c:pt>
                <c:pt idx="13">
                  <c:v>Klaaw-Thunderstrike</c:v>
                </c:pt>
                <c:pt idx="14">
                  <c:v>Lilyasx-Thunderstrike</c:v>
                </c:pt>
                <c:pt idx="15">
                  <c:v>Mahway-Thunderstrike</c:v>
                </c:pt>
                <c:pt idx="16">
                  <c:v>Mardinez-Thunderstrike</c:v>
                </c:pt>
                <c:pt idx="17">
                  <c:v>Mokrash-Thunderstrike</c:v>
                </c:pt>
                <c:pt idx="18">
                  <c:v>Mommyfrieren-Thunderstrike</c:v>
                </c:pt>
                <c:pt idx="19">
                  <c:v>Oßa-Thunderstrike</c:v>
                </c:pt>
                <c:pt idx="20">
                  <c:v>Razoga-Thunderstrike</c:v>
                </c:pt>
                <c:pt idx="21">
                  <c:v>Reazø-Thunderstrike</c:v>
                </c:pt>
                <c:pt idx="22">
                  <c:v>Reezø-Thunderstrike</c:v>
                </c:pt>
                <c:pt idx="23">
                  <c:v>Ribsz-Thunderstrike</c:v>
                </c:pt>
                <c:pt idx="24">
                  <c:v>Sanderon-Thunderstrike</c:v>
                </c:pt>
                <c:pt idx="25">
                  <c:v>Shreklich-Thunderstrike</c:v>
                </c:pt>
                <c:pt idx="26">
                  <c:v>Spewspew-Thunderstrike</c:v>
                </c:pt>
                <c:pt idx="27">
                  <c:v>Supmyaeth-Thunderstrike</c:v>
                </c:pt>
                <c:pt idx="28">
                  <c:v>Tastycake-Thunderstrike</c:v>
                </c:pt>
                <c:pt idx="29">
                  <c:v>Tommypenn-Thunderstrike</c:v>
                </c:pt>
                <c:pt idx="30">
                  <c:v>Tuarendrood-Thunderstrike</c:v>
                </c:pt>
                <c:pt idx="31">
                  <c:v>Xænd-Thunderstrike</c:v>
                </c:pt>
                <c:pt idx="32">
                  <c:v>Xaganat-Thunderstrike</c:v>
                </c:pt>
                <c:pt idx="33">
                  <c:v>Zabipala-Thunderstrike</c:v>
                </c:pt>
                <c:pt idx="34">
                  <c:v>Zerleger-Thunderstrike</c:v>
                </c:pt>
                <c:pt idx="35">
                  <c:v>Zzou-Thunderstrike</c:v>
                </c:pt>
              </c:strCache>
            </c:strRef>
          </c:cat>
          <c:val>
            <c:numRef>
              <c:f>[0]!chartPlayerCounts</c:f>
              <c:numCache>
                <c:formatCode>General</c:formatCode>
                <c:ptCount val="36"/>
                <c:pt idx="0">
                  <c:v>6</c:v>
                </c:pt>
                <c:pt idx="1">
                  <c:v>9</c:v>
                </c:pt>
                <c:pt idx="2">
                  <c:v>13</c:v>
                </c:pt>
                <c:pt idx="3">
                  <c:v>12</c:v>
                </c:pt>
                <c:pt idx="4">
                  <c:v>5</c:v>
                </c:pt>
                <c:pt idx="5">
                  <c:v>13</c:v>
                </c:pt>
                <c:pt idx="6">
                  <c:v>4</c:v>
                </c:pt>
                <c:pt idx="7">
                  <c:v>6</c:v>
                </c:pt>
                <c:pt idx="8">
                  <c:v>4</c:v>
                </c:pt>
                <c:pt idx="9">
                  <c:v>6</c:v>
                </c:pt>
                <c:pt idx="10">
                  <c:v>7</c:v>
                </c:pt>
                <c:pt idx="11">
                  <c:v>6</c:v>
                </c:pt>
                <c:pt idx="12">
                  <c:v>13</c:v>
                </c:pt>
                <c:pt idx="13">
                  <c:v>7</c:v>
                </c:pt>
                <c:pt idx="14">
                  <c:v>2</c:v>
                </c:pt>
                <c:pt idx="15">
                  <c:v>6</c:v>
                </c:pt>
                <c:pt idx="16">
                  <c:v>9</c:v>
                </c:pt>
                <c:pt idx="17">
                  <c:v>10</c:v>
                </c:pt>
                <c:pt idx="18">
                  <c:v>5</c:v>
                </c:pt>
                <c:pt idx="19">
                  <c:v>9</c:v>
                </c:pt>
                <c:pt idx="20">
                  <c:v>1</c:v>
                </c:pt>
                <c:pt idx="21">
                  <c:v>5</c:v>
                </c:pt>
                <c:pt idx="22">
                  <c:v>15</c:v>
                </c:pt>
                <c:pt idx="23">
                  <c:v>6</c:v>
                </c:pt>
                <c:pt idx="24">
                  <c:v>2</c:v>
                </c:pt>
                <c:pt idx="25">
                  <c:v>4</c:v>
                </c:pt>
                <c:pt idx="26">
                  <c:v>6</c:v>
                </c:pt>
                <c:pt idx="27">
                  <c:v>9</c:v>
                </c:pt>
                <c:pt idx="28">
                  <c:v>6</c:v>
                </c:pt>
                <c:pt idx="29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AEC-495B-939A-03C57DACAD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6453935"/>
        <c:axId val="126440015"/>
      </c:barChart>
      <c:catAx>
        <c:axId val="1264539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26440015"/>
        <c:crosses val="autoZero"/>
        <c:auto val="1"/>
        <c:lblAlgn val="ctr"/>
        <c:lblOffset val="100"/>
        <c:noMultiLvlLbl val="0"/>
      </c:catAx>
      <c:valAx>
        <c:axId val="1264400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264539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title>
    <c:autoTitleDeleted val="0"/>
    <c:plotArea>
      <c:layout/>
      <c:doughnutChart>
        <c:varyColors val="1"/>
        <c:ser>
          <c:idx val="0"/>
          <c:order val="0"/>
          <c:tx>
            <c:v>Response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982-6C46-93BD-E3235EA24BE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982-6C46-93BD-E3235EA24BE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982-6C46-93BD-E3235EA24BE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982-6C46-93BD-E3235EA24BE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982-6C46-93BD-E3235EA24BE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2982-6C46-93BD-E3235EA24BE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C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[0]!chartRespLabels</c:f>
              <c:strCache>
                <c:ptCount val="6"/>
                <c:pt idx="0">
                  <c:v>BiS</c:v>
                </c:pt>
                <c:pt idx="1">
                  <c:v>2nd BiS</c:v>
                </c:pt>
                <c:pt idx="2">
                  <c:v>Upgrade</c:v>
                </c:pt>
                <c:pt idx="3">
                  <c:v>Offspecc</c:v>
                </c:pt>
                <c:pt idx="4">
                  <c:v>Passen</c:v>
                </c:pt>
                <c:pt idx="5">
                  <c:v>Pending</c:v>
                </c:pt>
              </c:strCache>
            </c:strRef>
          </c:cat>
          <c:val>
            <c:numRef>
              <c:f>[0]!chartRespCounts</c:f>
              <c:numCache>
                <c:formatCode>General</c:formatCode>
                <c:ptCount val="6"/>
                <c:pt idx="0">
                  <c:v>147</c:v>
                </c:pt>
                <c:pt idx="1">
                  <c:v>29</c:v>
                </c:pt>
                <c:pt idx="2">
                  <c:v>40</c:v>
                </c:pt>
                <c:pt idx="3">
                  <c:v>43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8B9-4F0E-819C-5E2414CA1A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Items by Boss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Items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C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[0]!chartBossNames</c:f>
              <c:strCache>
                <c:ptCount val="28"/>
                <c:pt idx="0">
                  <c:v>Al'ar</c:v>
                </c:pt>
                <c:pt idx="1">
                  <c:v>Das Grauen aus der Tiefe</c:v>
                </c:pt>
                <c:pt idx="2">
                  <c:v>Fathom-Lord Karathress</c:v>
                </c:pt>
                <c:pt idx="3">
                  <c:v>Gruul der Drachenschlächter</c:v>
                </c:pt>
                <c:pt idx="4">
                  <c:v>Gruul the Dragonkiller</c:v>
                </c:pt>
                <c:pt idx="5">
                  <c:v>High Astromancer Solarian</c:v>
                </c:pt>
                <c:pt idx="6">
                  <c:v>High King Maulgar</c:v>
                </c:pt>
                <c:pt idx="7">
                  <c:v>Hochastromantin Solarian</c:v>
                </c:pt>
                <c:pt idx="8">
                  <c:v>Hochkönig Maulgar</c:v>
                </c:pt>
                <c:pt idx="9">
                  <c:v>Hydross der Unstete</c:v>
                </c:pt>
                <c:pt idx="10">
                  <c:v>Hydross the Unstable</c:v>
                </c:pt>
                <c:pt idx="11">
                  <c:v>Kael'thas Sonnenwanderer</c:v>
                </c:pt>
                <c:pt idx="12">
                  <c:v>Kael'thas Sunstrider</c:v>
                </c:pt>
                <c:pt idx="13">
                  <c:v>Lady Vashj</c:v>
                </c:pt>
                <c:pt idx="14">
                  <c:v>Lady Vashj — name unverified</c:v>
                </c:pt>
                <c:pt idx="15">
                  <c:v>Leerhäscher</c:v>
                </c:pt>
                <c:pt idx="16">
                  <c:v>Leotheras der Blinde</c:v>
                </c:pt>
                <c:pt idx="17">
                  <c:v>Leotheras the Blind</c:v>
                </c:pt>
                <c:pt idx="18">
                  <c:v>Magtheridon</c:v>
                </c:pt>
                <c:pt idx="19">
                  <c:v>Morogrim Gezeitenwandler</c:v>
                </c:pt>
                <c:pt idx="20">
                  <c:v>Morogrim Tidewalker</c:v>
                </c:pt>
                <c:pt idx="21">
                  <c:v>SSC / TK Trash</c:v>
                </c:pt>
                <c:pt idx="22">
                  <c:v>SSC Trash</c:v>
                </c:pt>
                <c:pt idx="23">
                  <c:v>The Lurker Below</c:v>
                </c:pt>
                <c:pt idx="24">
                  <c:v>Tiefenlord Karathress</c:v>
                </c:pt>
                <c:pt idx="25">
                  <c:v>TK Trash</c:v>
                </c:pt>
                <c:pt idx="26">
                  <c:v>Unbekannt</c:v>
                </c:pt>
                <c:pt idx="27">
                  <c:v>Void Reaver</c:v>
                </c:pt>
              </c:strCache>
            </c:strRef>
          </c:cat>
          <c:val>
            <c:numRef>
              <c:f>[0]!chartBossCounts</c:f>
              <c:numCache>
                <c:formatCode>General</c:formatCode>
                <c:ptCount val="28"/>
                <c:pt idx="0">
                  <c:v>16</c:v>
                </c:pt>
                <c:pt idx="1">
                  <c:v>3</c:v>
                </c:pt>
                <c:pt idx="2">
                  <c:v>20</c:v>
                </c:pt>
                <c:pt idx="3">
                  <c:v>10</c:v>
                </c:pt>
                <c:pt idx="4">
                  <c:v>10</c:v>
                </c:pt>
                <c:pt idx="5">
                  <c:v>16</c:v>
                </c:pt>
                <c:pt idx="6">
                  <c:v>8</c:v>
                </c:pt>
                <c:pt idx="7">
                  <c:v>3</c:v>
                </c:pt>
                <c:pt idx="8">
                  <c:v>2</c:v>
                </c:pt>
                <c:pt idx="9">
                  <c:v>3</c:v>
                </c:pt>
                <c:pt idx="10">
                  <c:v>11</c:v>
                </c:pt>
                <c:pt idx="11">
                  <c:v>12</c:v>
                </c:pt>
                <c:pt idx="12">
                  <c:v>22</c:v>
                </c:pt>
                <c:pt idx="13">
                  <c:v>23</c:v>
                </c:pt>
                <c:pt idx="14">
                  <c:v>1</c:v>
                </c:pt>
                <c:pt idx="15">
                  <c:v>9</c:v>
                </c:pt>
                <c:pt idx="16">
                  <c:v>4</c:v>
                </c:pt>
                <c:pt idx="17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1A8-45BE-8A09-945C82C5B6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546479"/>
        <c:axId val="42546959"/>
      </c:barChart>
      <c:catAx>
        <c:axId val="42546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42546959"/>
        <c:crosses val="autoZero"/>
        <c:auto val="1"/>
        <c:lblAlgn val="ctr"/>
        <c:lblOffset val="100"/>
        <c:noMultiLvlLbl val="0"/>
      </c:catAx>
      <c:valAx>
        <c:axId val="42546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425464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Loot by Class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Dashboard!$AI$208</c:f>
              <c:strCache>
                <c:ptCount val="1"/>
                <c:pt idx="0">
                  <c:v>Items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C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Dashboard!$AH$209:$AH$217</c:f>
              <c:strCache>
                <c:ptCount val="9"/>
                <c:pt idx="0">
                  <c:v>DRUID</c:v>
                </c:pt>
                <c:pt idx="1">
                  <c:v>HUNTER</c:v>
                </c:pt>
                <c:pt idx="2">
                  <c:v>MAGE</c:v>
                </c:pt>
                <c:pt idx="3">
                  <c:v>PALADIN</c:v>
                </c:pt>
                <c:pt idx="4">
                  <c:v>PRIEST</c:v>
                </c:pt>
                <c:pt idx="5">
                  <c:v>ROGUE</c:v>
                </c:pt>
                <c:pt idx="6">
                  <c:v>SHAMAN</c:v>
                </c:pt>
                <c:pt idx="7">
                  <c:v>WARLOCK</c:v>
                </c:pt>
                <c:pt idx="8">
                  <c:v>WARRIOR</c:v>
                </c:pt>
              </c:strCache>
            </c:strRef>
          </c:cat>
          <c:val>
            <c:numRef>
              <c:f>Dashboard!$AI$209:$AI$217</c:f>
              <c:numCache>
                <c:formatCode>General</c:formatCode>
                <c:ptCount val="9"/>
                <c:pt idx="0">
                  <c:v>30</c:v>
                </c:pt>
                <c:pt idx="1">
                  <c:v>21</c:v>
                </c:pt>
                <c:pt idx="2">
                  <c:v>32</c:v>
                </c:pt>
                <c:pt idx="3">
                  <c:v>54</c:v>
                </c:pt>
                <c:pt idx="4">
                  <c:v>28</c:v>
                </c:pt>
                <c:pt idx="5">
                  <c:v>6</c:v>
                </c:pt>
                <c:pt idx="6">
                  <c:v>45</c:v>
                </c:pt>
                <c:pt idx="7">
                  <c:v>15</c:v>
                </c:pt>
                <c:pt idx="8">
                  <c:v>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4A-C94A-BB38-0280BF76DD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70154751"/>
        <c:axId val="670170431"/>
      </c:barChart>
      <c:catAx>
        <c:axId val="670154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670170431"/>
        <c:crosses val="autoZero"/>
        <c:auto val="1"/>
        <c:lblAlgn val="ctr"/>
        <c:lblOffset val="100"/>
        <c:noMultiLvlLbl val="0"/>
      </c:catAx>
      <c:valAx>
        <c:axId val="670170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6701547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1</xdr:row>
      <xdr:rowOff>0</xdr:rowOff>
    </xdr:from>
    <xdr:to>
      <xdr:col>21</xdr:col>
      <xdr:colOff>0</xdr:colOff>
      <xdr:row>45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421922B-2235-D094-E9A3-E0BEA537F3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8</xdr:row>
      <xdr:rowOff>200024</xdr:rowOff>
    </xdr:from>
    <xdr:to>
      <xdr:col>2</xdr:col>
      <xdr:colOff>0</xdr:colOff>
      <xdr:row>23</xdr:row>
      <xdr:rowOff>200024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54EEB78-FC3C-829B-9200-519FF220DA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0</xdr:colOff>
      <xdr:row>46</xdr:row>
      <xdr:rowOff>0</xdr:rowOff>
    </xdr:from>
    <xdr:to>
      <xdr:col>21</xdr:col>
      <xdr:colOff>0</xdr:colOff>
      <xdr:row>60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EA57329-04D3-7D92-CF77-EE504EB7CB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25</xdr:row>
      <xdr:rowOff>204694</xdr:rowOff>
    </xdr:from>
    <xdr:to>
      <xdr:col>1</xdr:col>
      <xdr:colOff>2271059</xdr:colOff>
      <xdr:row>44</xdr:row>
      <xdr:rowOff>14941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8996EEB-DE42-6455-AED9-F85684FE19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essage" connectionId="1" xr16:uid="{28F6F41A-4054-D041-9870-344BB5B4A1B4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8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44E30DE-FB42-4A3C-A7BC-B94A5E53FB30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14996fdf-a9ab-4d26-846c-67d12bce36bf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51AA2-23CF-6249-8587-EF34CF3BDA66}">
  <dimension ref="A1:U279"/>
  <sheetViews>
    <sheetView tabSelected="1" zoomScale="85" zoomScaleNormal="85" workbookViewId="0">
      <selection activeCell="L15" sqref="L15"/>
    </sheetView>
  </sheetViews>
  <sheetFormatPr defaultColWidth="11" defaultRowHeight="15.75" x14ac:dyDescent="0.25"/>
  <cols>
    <col min="1" max="1" width="25" bestFit="1" customWidth="1"/>
    <col min="2" max="2" width="10.375" bestFit="1" customWidth="1"/>
    <col min="3" max="3" width="8.375" bestFit="1" customWidth="1"/>
    <col min="4" max="4" width="35.375" bestFit="1" customWidth="1"/>
    <col min="5" max="5" width="8.625" bestFit="1" customWidth="1"/>
    <col min="6" max="6" width="17.375" bestFit="1" customWidth="1"/>
    <col min="7" max="7" width="10.875" bestFit="1" customWidth="1"/>
    <col min="8" max="8" width="7.625" bestFit="1" customWidth="1"/>
    <col min="9" max="9" width="9.375" bestFit="1" customWidth="1"/>
    <col min="10" max="10" width="35.375" bestFit="1" customWidth="1"/>
    <col min="11" max="11" width="26" bestFit="1" customWidth="1"/>
    <col min="12" max="12" width="42.625" bestFit="1" customWidth="1"/>
    <col min="13" max="13" width="25.375" bestFit="1" customWidth="1"/>
    <col min="14" max="14" width="12.625" bestFit="1" customWidth="1"/>
    <col min="15" max="15" width="16" bestFit="1" customWidth="1"/>
    <col min="16" max="16" width="9.625" bestFit="1" customWidth="1"/>
    <col min="17" max="17" width="18.125" bestFit="1" customWidth="1"/>
    <col min="18" max="18" width="14.5" bestFit="1" customWidth="1"/>
    <col min="19" max="19" width="50" bestFit="1" customWidth="1"/>
    <col min="20" max="20" width="25" bestFit="1" customWidth="1"/>
    <col min="21" max="21" width="10.37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3" t="s">
        <v>20</v>
      </c>
    </row>
    <row r="2" spans="1:21" x14ac:dyDescent="0.25">
      <c r="A2" t="s">
        <v>21</v>
      </c>
      <c r="B2" s="1">
        <v>46160</v>
      </c>
      <c r="C2" s="2">
        <v>0.91111111111111109</v>
      </c>
      <c r="D2" t="s">
        <v>288</v>
      </c>
      <c r="E2">
        <v>30241</v>
      </c>
      <c r="F2" t="s">
        <v>22</v>
      </c>
      <c r="G2" t="s">
        <v>23</v>
      </c>
      <c r="H2">
        <v>2</v>
      </c>
      <c r="I2" t="s">
        <v>24</v>
      </c>
      <c r="J2" t="s">
        <v>241</v>
      </c>
      <c r="K2" t="s">
        <v>270</v>
      </c>
      <c r="L2" t="s">
        <v>394</v>
      </c>
      <c r="M2" t="s">
        <v>583</v>
      </c>
      <c r="N2">
        <v>1</v>
      </c>
      <c r="O2" t="b">
        <v>0</v>
      </c>
      <c r="P2" t="s">
        <v>26</v>
      </c>
      <c r="Q2" t="s">
        <v>27</v>
      </c>
      <c r="T2" t="s">
        <v>28</v>
      </c>
      <c r="U2" s="4">
        <f t="shared" ref="U2:U33" si="0">IF(B2="","",B2)</f>
        <v>46160</v>
      </c>
    </row>
    <row r="3" spans="1:21" x14ac:dyDescent="0.25">
      <c r="A3" t="s">
        <v>29</v>
      </c>
      <c r="B3" s="1">
        <v>46160</v>
      </c>
      <c r="C3" s="2">
        <v>0.86111111111111116</v>
      </c>
      <c r="D3" t="s">
        <v>289</v>
      </c>
      <c r="E3">
        <v>30054</v>
      </c>
      <c r="F3" t="s">
        <v>30</v>
      </c>
      <c r="G3" t="s">
        <v>31</v>
      </c>
      <c r="H3">
        <v>0</v>
      </c>
      <c r="I3" t="s">
        <v>32</v>
      </c>
      <c r="J3" t="s">
        <v>241</v>
      </c>
      <c r="K3" t="s">
        <v>242</v>
      </c>
      <c r="L3" t="s">
        <v>395</v>
      </c>
      <c r="M3" t="s">
        <v>583</v>
      </c>
      <c r="N3">
        <v>3</v>
      </c>
      <c r="O3" t="b">
        <v>0</v>
      </c>
      <c r="P3" t="s">
        <v>26</v>
      </c>
      <c r="Q3" t="s">
        <v>34</v>
      </c>
      <c r="R3" t="s">
        <v>35</v>
      </c>
      <c r="T3" t="s">
        <v>28</v>
      </c>
      <c r="U3" s="4">
        <f t="shared" si="0"/>
        <v>46160</v>
      </c>
    </row>
    <row r="4" spans="1:21" x14ac:dyDescent="0.25">
      <c r="A4" t="s">
        <v>29</v>
      </c>
      <c r="B4" s="1">
        <v>46160</v>
      </c>
      <c r="C4" s="2">
        <v>0.87638888888888888</v>
      </c>
      <c r="D4" t="s">
        <v>290</v>
      </c>
      <c r="E4">
        <v>30065</v>
      </c>
      <c r="F4" t="s">
        <v>36</v>
      </c>
      <c r="G4" t="s">
        <v>37</v>
      </c>
      <c r="H4">
        <v>4</v>
      </c>
      <c r="I4" t="s">
        <v>32</v>
      </c>
      <c r="J4" t="s">
        <v>241</v>
      </c>
      <c r="K4" t="s">
        <v>242</v>
      </c>
      <c r="L4" t="s">
        <v>395</v>
      </c>
      <c r="M4" t="s">
        <v>583</v>
      </c>
      <c r="N4">
        <v>4</v>
      </c>
      <c r="O4" t="b">
        <v>0</v>
      </c>
      <c r="P4" t="s">
        <v>26</v>
      </c>
      <c r="Q4" t="s">
        <v>38</v>
      </c>
      <c r="R4" t="s">
        <v>35</v>
      </c>
      <c r="T4" t="s">
        <v>28</v>
      </c>
      <c r="U4" s="4">
        <f t="shared" si="0"/>
        <v>46160</v>
      </c>
    </row>
    <row r="5" spans="1:21" x14ac:dyDescent="0.25">
      <c r="A5" t="s">
        <v>29</v>
      </c>
      <c r="B5" s="1">
        <v>46160</v>
      </c>
      <c r="C5" s="2">
        <v>0.87708333333333333</v>
      </c>
      <c r="D5" t="s">
        <v>291</v>
      </c>
      <c r="E5">
        <v>30061</v>
      </c>
      <c r="F5" t="s">
        <v>39</v>
      </c>
      <c r="G5" t="s">
        <v>40</v>
      </c>
      <c r="H5">
        <v>1</v>
      </c>
      <c r="I5" t="s">
        <v>32</v>
      </c>
      <c r="J5" t="s">
        <v>241</v>
      </c>
      <c r="K5" t="s">
        <v>260</v>
      </c>
      <c r="L5" t="s">
        <v>396</v>
      </c>
      <c r="M5" t="s">
        <v>504</v>
      </c>
      <c r="N5">
        <v>2</v>
      </c>
      <c r="O5" t="b">
        <v>0</v>
      </c>
      <c r="P5" t="s">
        <v>26</v>
      </c>
      <c r="Q5" t="s">
        <v>41</v>
      </c>
      <c r="R5" t="s">
        <v>42</v>
      </c>
      <c r="T5" t="s">
        <v>28</v>
      </c>
      <c r="U5" s="4">
        <f t="shared" si="0"/>
        <v>46160</v>
      </c>
    </row>
    <row r="6" spans="1:21" x14ac:dyDescent="0.25">
      <c r="A6" t="s">
        <v>29</v>
      </c>
      <c r="B6" s="1">
        <v>46160</v>
      </c>
      <c r="C6" s="2">
        <v>0.91041666666666665</v>
      </c>
      <c r="D6" t="s">
        <v>292</v>
      </c>
      <c r="E6">
        <v>30090</v>
      </c>
      <c r="F6" t="s">
        <v>43</v>
      </c>
      <c r="G6" t="s">
        <v>40</v>
      </c>
      <c r="H6">
        <v>6</v>
      </c>
      <c r="I6" t="s">
        <v>32</v>
      </c>
      <c r="J6" t="s">
        <v>241</v>
      </c>
      <c r="K6" t="s">
        <v>246</v>
      </c>
      <c r="L6" t="s">
        <v>397</v>
      </c>
      <c r="M6" t="s">
        <v>583</v>
      </c>
      <c r="N6">
        <v>2</v>
      </c>
      <c r="O6" t="b">
        <v>0</v>
      </c>
      <c r="P6" t="s">
        <v>26</v>
      </c>
      <c r="Q6" t="s">
        <v>44</v>
      </c>
      <c r="R6" t="s">
        <v>45</v>
      </c>
      <c r="T6" t="s">
        <v>28</v>
      </c>
      <c r="U6" s="4">
        <f t="shared" si="0"/>
        <v>46160</v>
      </c>
    </row>
    <row r="7" spans="1:21" x14ac:dyDescent="0.25">
      <c r="A7" t="s">
        <v>46</v>
      </c>
      <c r="B7" s="1">
        <v>46160</v>
      </c>
      <c r="C7" s="2">
        <v>0.87708333333333333</v>
      </c>
      <c r="D7" t="s">
        <v>293</v>
      </c>
      <c r="E7">
        <v>30665</v>
      </c>
      <c r="F7" t="s">
        <v>47</v>
      </c>
      <c r="G7" t="s">
        <v>40</v>
      </c>
      <c r="H7">
        <v>5</v>
      </c>
      <c r="I7" t="s">
        <v>48</v>
      </c>
      <c r="J7" t="s">
        <v>241</v>
      </c>
      <c r="K7" t="s">
        <v>260</v>
      </c>
      <c r="L7" t="s">
        <v>398</v>
      </c>
      <c r="M7" t="s">
        <v>496</v>
      </c>
      <c r="N7">
        <v>2</v>
      </c>
      <c r="O7" t="b">
        <v>0</v>
      </c>
      <c r="P7" t="s">
        <v>26</v>
      </c>
      <c r="Q7" t="s">
        <v>41</v>
      </c>
      <c r="R7" t="s">
        <v>49</v>
      </c>
      <c r="T7" t="s">
        <v>28</v>
      </c>
      <c r="U7" s="4">
        <f t="shared" si="0"/>
        <v>46160</v>
      </c>
    </row>
    <row r="8" spans="1:21" x14ac:dyDescent="0.25">
      <c r="A8" t="s">
        <v>28</v>
      </c>
      <c r="B8" s="1">
        <v>46160</v>
      </c>
      <c r="C8" s="2">
        <v>0.97916666666666663</v>
      </c>
      <c r="D8" t="s">
        <v>294</v>
      </c>
      <c r="E8">
        <v>30106</v>
      </c>
      <c r="F8" t="s">
        <v>50</v>
      </c>
      <c r="G8" t="s">
        <v>23</v>
      </c>
      <c r="H8">
        <v>3</v>
      </c>
      <c r="I8" t="s">
        <v>51</v>
      </c>
      <c r="J8" t="s">
        <v>241</v>
      </c>
      <c r="K8" t="s">
        <v>52</v>
      </c>
      <c r="L8" t="s">
        <v>399</v>
      </c>
      <c r="M8" t="s">
        <v>583</v>
      </c>
      <c r="N8">
        <v>1</v>
      </c>
      <c r="O8" t="b">
        <v>0</v>
      </c>
      <c r="P8" t="s">
        <v>26</v>
      </c>
      <c r="Q8" t="s">
        <v>53</v>
      </c>
      <c r="R8" t="s">
        <v>54</v>
      </c>
      <c r="T8" t="s">
        <v>28</v>
      </c>
      <c r="U8" s="4">
        <f t="shared" si="0"/>
        <v>46160</v>
      </c>
    </row>
    <row r="9" spans="1:21" x14ac:dyDescent="0.25">
      <c r="A9" t="s">
        <v>55</v>
      </c>
      <c r="B9" s="1">
        <v>46160</v>
      </c>
      <c r="C9" s="2">
        <v>0.88749999999999996</v>
      </c>
      <c r="D9" t="s">
        <v>295</v>
      </c>
      <c r="E9">
        <v>30183</v>
      </c>
      <c r="F9" t="s">
        <v>56</v>
      </c>
      <c r="G9" t="s">
        <v>23</v>
      </c>
      <c r="H9">
        <v>3</v>
      </c>
      <c r="I9" t="s">
        <v>57</v>
      </c>
      <c r="J9" t="s">
        <v>241</v>
      </c>
      <c r="K9" t="s">
        <v>522</v>
      </c>
      <c r="M9" t="s">
        <v>583</v>
      </c>
      <c r="N9">
        <v>1</v>
      </c>
      <c r="O9" t="b">
        <v>0</v>
      </c>
      <c r="P9" t="s">
        <v>26</v>
      </c>
      <c r="Q9" t="s">
        <v>58</v>
      </c>
      <c r="T9" t="s">
        <v>28</v>
      </c>
      <c r="U9" s="4">
        <f t="shared" si="0"/>
        <v>46160</v>
      </c>
    </row>
    <row r="10" spans="1:21" x14ac:dyDescent="0.25">
      <c r="A10" t="s">
        <v>55</v>
      </c>
      <c r="B10" s="1">
        <v>46160</v>
      </c>
      <c r="C10" s="2">
        <v>0.90972222222222221</v>
      </c>
      <c r="D10" t="s">
        <v>296</v>
      </c>
      <c r="E10">
        <v>30025</v>
      </c>
      <c r="F10" t="s">
        <v>59</v>
      </c>
      <c r="G10" t="s">
        <v>31</v>
      </c>
      <c r="H10">
        <v>5</v>
      </c>
      <c r="I10" t="s">
        <v>57</v>
      </c>
      <c r="J10" t="s">
        <v>241</v>
      </c>
      <c r="K10" t="s">
        <v>523</v>
      </c>
      <c r="L10" t="s">
        <v>400</v>
      </c>
      <c r="M10" t="s">
        <v>583</v>
      </c>
      <c r="N10">
        <v>3</v>
      </c>
      <c r="O10" t="b">
        <v>0</v>
      </c>
      <c r="P10" t="s">
        <v>26</v>
      </c>
      <c r="Q10" t="s">
        <v>60</v>
      </c>
      <c r="R10" t="s">
        <v>60</v>
      </c>
      <c r="T10" t="s">
        <v>28</v>
      </c>
      <c r="U10" s="4">
        <f t="shared" si="0"/>
        <v>46160</v>
      </c>
    </row>
    <row r="11" spans="1:21" x14ac:dyDescent="0.25">
      <c r="A11" t="s">
        <v>55</v>
      </c>
      <c r="B11" s="1">
        <v>46160</v>
      </c>
      <c r="C11" s="2">
        <v>0.91041666666666665</v>
      </c>
      <c r="D11" t="s">
        <v>297</v>
      </c>
      <c r="E11">
        <v>30283</v>
      </c>
      <c r="F11" t="s">
        <v>61</v>
      </c>
      <c r="G11" t="s">
        <v>160</v>
      </c>
      <c r="H11">
        <v>0</v>
      </c>
      <c r="I11" t="s">
        <v>57</v>
      </c>
      <c r="J11" t="s">
        <v>241</v>
      </c>
      <c r="K11" t="s">
        <v>523</v>
      </c>
      <c r="M11" t="s">
        <v>583</v>
      </c>
      <c r="N11" t="s">
        <v>63</v>
      </c>
      <c r="O11" t="b">
        <v>0</v>
      </c>
      <c r="P11" t="s">
        <v>26</v>
      </c>
      <c r="Q11" t="s">
        <v>64</v>
      </c>
      <c r="T11" t="s">
        <v>28</v>
      </c>
      <c r="U11" s="4">
        <f t="shared" si="0"/>
        <v>46160</v>
      </c>
    </row>
    <row r="12" spans="1:21" x14ac:dyDescent="0.25">
      <c r="A12" t="s">
        <v>65</v>
      </c>
      <c r="B12" s="1">
        <v>46160</v>
      </c>
      <c r="C12" s="2">
        <v>0.90902777777777777</v>
      </c>
      <c r="D12" t="s">
        <v>298</v>
      </c>
      <c r="E12">
        <v>30008</v>
      </c>
      <c r="F12" t="s">
        <v>66</v>
      </c>
      <c r="G12" t="s">
        <v>31</v>
      </c>
      <c r="H12">
        <v>5</v>
      </c>
      <c r="I12" t="s">
        <v>67</v>
      </c>
      <c r="J12" t="s">
        <v>241</v>
      </c>
      <c r="K12" t="s">
        <v>523</v>
      </c>
      <c r="L12" t="s">
        <v>401</v>
      </c>
      <c r="M12" t="s">
        <v>583</v>
      </c>
      <c r="N12">
        <v>3</v>
      </c>
      <c r="O12" t="b">
        <v>0</v>
      </c>
      <c r="P12" t="s">
        <v>26</v>
      </c>
      <c r="Q12" t="s">
        <v>41</v>
      </c>
      <c r="R12" t="s">
        <v>68</v>
      </c>
      <c r="T12" t="s">
        <v>28</v>
      </c>
      <c r="U12" s="4">
        <f t="shared" si="0"/>
        <v>46160</v>
      </c>
    </row>
    <row r="13" spans="1:21" x14ac:dyDescent="0.25">
      <c r="A13" t="s">
        <v>69</v>
      </c>
      <c r="B13" s="1">
        <v>46160</v>
      </c>
      <c r="C13" s="2">
        <v>0.97916666666666663</v>
      </c>
      <c r="D13" t="s">
        <v>299</v>
      </c>
      <c r="E13">
        <v>30244</v>
      </c>
      <c r="F13" t="s">
        <v>70</v>
      </c>
      <c r="G13" t="s">
        <v>23</v>
      </c>
      <c r="H13">
        <v>0</v>
      </c>
      <c r="I13" t="s">
        <v>71</v>
      </c>
      <c r="J13" t="s">
        <v>241</v>
      </c>
      <c r="K13" t="s">
        <v>52</v>
      </c>
      <c r="L13" t="s">
        <v>402</v>
      </c>
      <c r="M13" t="s">
        <v>583</v>
      </c>
      <c r="N13">
        <v>1</v>
      </c>
      <c r="O13" t="b">
        <v>0</v>
      </c>
      <c r="P13" t="s">
        <v>26</v>
      </c>
      <c r="Q13" t="s">
        <v>27</v>
      </c>
      <c r="T13" t="s">
        <v>69</v>
      </c>
      <c r="U13" s="4">
        <f t="shared" si="0"/>
        <v>46160</v>
      </c>
    </row>
    <row r="14" spans="1:21" x14ac:dyDescent="0.25">
      <c r="A14" t="s">
        <v>72</v>
      </c>
      <c r="B14" s="1">
        <v>46160</v>
      </c>
      <c r="C14" s="2">
        <v>0.90902777777777777</v>
      </c>
      <c r="D14" t="s">
        <v>300</v>
      </c>
      <c r="E14">
        <v>30245</v>
      </c>
      <c r="F14" t="s">
        <v>73</v>
      </c>
      <c r="G14" t="s">
        <v>23</v>
      </c>
      <c r="H14">
        <v>1</v>
      </c>
      <c r="I14" t="s">
        <v>74</v>
      </c>
      <c r="J14" t="s">
        <v>241</v>
      </c>
      <c r="K14" t="s">
        <v>246</v>
      </c>
      <c r="L14" t="s">
        <v>403</v>
      </c>
      <c r="M14" t="s">
        <v>583</v>
      </c>
      <c r="N14">
        <v>1</v>
      </c>
      <c r="O14" t="b">
        <v>0</v>
      </c>
      <c r="P14" t="s">
        <v>26</v>
      </c>
      <c r="Q14" t="s">
        <v>27</v>
      </c>
      <c r="T14" t="s">
        <v>28</v>
      </c>
      <c r="U14" s="4">
        <f t="shared" si="0"/>
        <v>46160</v>
      </c>
    </row>
    <row r="15" spans="1:21" x14ac:dyDescent="0.25">
      <c r="A15" t="s">
        <v>72</v>
      </c>
      <c r="B15" s="1">
        <v>46160</v>
      </c>
      <c r="C15" s="2">
        <v>0.91041666666666665</v>
      </c>
      <c r="D15" t="s">
        <v>301</v>
      </c>
      <c r="E15">
        <v>30097</v>
      </c>
      <c r="F15" t="s">
        <v>75</v>
      </c>
      <c r="G15" t="s">
        <v>31</v>
      </c>
      <c r="H15">
        <v>5</v>
      </c>
      <c r="I15" t="s">
        <v>74</v>
      </c>
      <c r="J15" t="s">
        <v>241</v>
      </c>
      <c r="K15" t="s">
        <v>523</v>
      </c>
      <c r="L15" t="s">
        <v>404</v>
      </c>
      <c r="M15" t="s">
        <v>583</v>
      </c>
      <c r="N15">
        <v>3</v>
      </c>
      <c r="O15" t="b">
        <v>0</v>
      </c>
      <c r="P15" t="s">
        <v>26</v>
      </c>
      <c r="Q15" t="s">
        <v>34</v>
      </c>
      <c r="R15" t="s">
        <v>76</v>
      </c>
      <c r="T15" t="s">
        <v>28</v>
      </c>
      <c r="U15" s="4">
        <f t="shared" si="0"/>
        <v>46160</v>
      </c>
    </row>
    <row r="16" spans="1:21" x14ac:dyDescent="0.25">
      <c r="A16" t="s">
        <v>77</v>
      </c>
      <c r="B16" s="1">
        <v>46160</v>
      </c>
      <c r="C16" s="2">
        <v>0.86250000000000004</v>
      </c>
      <c r="D16" t="s">
        <v>302</v>
      </c>
      <c r="E16">
        <v>30664</v>
      </c>
      <c r="F16" t="s">
        <v>78</v>
      </c>
      <c r="G16" t="s">
        <v>31</v>
      </c>
      <c r="H16">
        <v>2</v>
      </c>
      <c r="I16" t="s">
        <v>51</v>
      </c>
      <c r="J16" t="s">
        <v>241</v>
      </c>
      <c r="K16" t="s">
        <v>242</v>
      </c>
      <c r="L16" t="s">
        <v>405</v>
      </c>
      <c r="M16" t="s">
        <v>505</v>
      </c>
      <c r="N16">
        <v>3</v>
      </c>
      <c r="O16" t="b">
        <v>0</v>
      </c>
      <c r="P16" t="s">
        <v>26</v>
      </c>
      <c r="Q16" t="s">
        <v>41</v>
      </c>
      <c r="R16" t="s">
        <v>49</v>
      </c>
      <c r="T16" t="s">
        <v>28</v>
      </c>
      <c r="U16" s="4">
        <f t="shared" si="0"/>
        <v>46160</v>
      </c>
    </row>
    <row r="17" spans="1:21" x14ac:dyDescent="0.25">
      <c r="A17" t="s">
        <v>79</v>
      </c>
      <c r="B17" s="1">
        <v>46160</v>
      </c>
      <c r="C17" s="2">
        <v>0.91180555555555554</v>
      </c>
      <c r="D17" t="s">
        <v>288</v>
      </c>
      <c r="E17">
        <v>30241</v>
      </c>
      <c r="F17" t="s">
        <v>22</v>
      </c>
      <c r="G17" t="s">
        <v>23</v>
      </c>
      <c r="H17">
        <v>0</v>
      </c>
      <c r="I17" t="s">
        <v>67</v>
      </c>
      <c r="J17" t="s">
        <v>241</v>
      </c>
      <c r="K17" t="s">
        <v>270</v>
      </c>
      <c r="L17" t="s">
        <v>406</v>
      </c>
      <c r="M17" t="s">
        <v>583</v>
      </c>
      <c r="N17">
        <v>1</v>
      </c>
      <c r="O17" t="b">
        <v>0</v>
      </c>
      <c r="P17" t="s">
        <v>26</v>
      </c>
      <c r="Q17" t="s">
        <v>27</v>
      </c>
      <c r="T17" t="s">
        <v>28</v>
      </c>
      <c r="U17" s="4">
        <f t="shared" si="0"/>
        <v>46160</v>
      </c>
    </row>
    <row r="18" spans="1:21" x14ac:dyDescent="0.25">
      <c r="A18" t="s">
        <v>80</v>
      </c>
      <c r="B18" s="1">
        <v>46160</v>
      </c>
      <c r="C18" s="2">
        <v>0.8618055555555556</v>
      </c>
      <c r="D18" t="s">
        <v>303</v>
      </c>
      <c r="E18">
        <v>30052</v>
      </c>
      <c r="F18" t="s">
        <v>81</v>
      </c>
      <c r="G18" t="s">
        <v>23</v>
      </c>
      <c r="H18">
        <v>3</v>
      </c>
      <c r="I18" t="s">
        <v>24</v>
      </c>
      <c r="J18" t="s">
        <v>241</v>
      </c>
      <c r="K18" t="s">
        <v>242</v>
      </c>
      <c r="L18" t="s">
        <v>407</v>
      </c>
      <c r="M18" t="s">
        <v>506</v>
      </c>
      <c r="N18">
        <v>1</v>
      </c>
      <c r="O18" t="b">
        <v>0</v>
      </c>
      <c r="P18" t="s">
        <v>26</v>
      </c>
      <c r="Q18" t="s">
        <v>41</v>
      </c>
      <c r="R18" t="s">
        <v>42</v>
      </c>
      <c r="S18" t="s">
        <v>82</v>
      </c>
      <c r="T18" t="s">
        <v>28</v>
      </c>
      <c r="U18" s="4">
        <f t="shared" si="0"/>
        <v>46160</v>
      </c>
    </row>
    <row r="19" spans="1:21" x14ac:dyDescent="0.25">
      <c r="A19" t="s">
        <v>83</v>
      </c>
      <c r="B19" s="1">
        <v>46160</v>
      </c>
      <c r="C19" s="2">
        <v>0.90902777777777777</v>
      </c>
      <c r="D19" t="s">
        <v>300</v>
      </c>
      <c r="E19">
        <v>30245</v>
      </c>
      <c r="F19" t="s">
        <v>73</v>
      </c>
      <c r="G19" t="s">
        <v>23</v>
      </c>
      <c r="H19">
        <v>4</v>
      </c>
      <c r="I19" t="s">
        <v>32</v>
      </c>
      <c r="J19" t="s">
        <v>241</v>
      </c>
      <c r="K19" t="s">
        <v>246</v>
      </c>
      <c r="L19" t="s">
        <v>408</v>
      </c>
      <c r="M19" t="s">
        <v>583</v>
      </c>
      <c r="N19">
        <v>1</v>
      </c>
      <c r="O19" t="b">
        <v>0</v>
      </c>
      <c r="P19" t="s">
        <v>26</v>
      </c>
      <c r="Q19" t="s">
        <v>27</v>
      </c>
      <c r="T19" t="s">
        <v>28</v>
      </c>
      <c r="U19" s="4">
        <f t="shared" si="0"/>
        <v>46160</v>
      </c>
    </row>
    <row r="20" spans="1:21" x14ac:dyDescent="0.25">
      <c r="A20" t="s">
        <v>83</v>
      </c>
      <c r="B20" s="1">
        <v>46160</v>
      </c>
      <c r="C20" s="2">
        <v>0.91041666666666665</v>
      </c>
      <c r="D20" t="s">
        <v>304</v>
      </c>
      <c r="E20">
        <v>30239</v>
      </c>
      <c r="F20" t="s">
        <v>84</v>
      </c>
      <c r="G20" t="s">
        <v>23</v>
      </c>
      <c r="H20">
        <v>2</v>
      </c>
      <c r="I20" t="s">
        <v>32</v>
      </c>
      <c r="J20" t="s">
        <v>241</v>
      </c>
      <c r="K20" t="s">
        <v>270</v>
      </c>
      <c r="L20" t="s">
        <v>409</v>
      </c>
      <c r="M20" t="s">
        <v>583</v>
      </c>
      <c r="N20">
        <v>1</v>
      </c>
      <c r="O20" t="b">
        <v>0</v>
      </c>
      <c r="P20" t="s">
        <v>26</v>
      </c>
      <c r="Q20" t="s">
        <v>27</v>
      </c>
      <c r="T20" t="s">
        <v>28</v>
      </c>
      <c r="U20" s="4">
        <f t="shared" si="0"/>
        <v>46160</v>
      </c>
    </row>
    <row r="21" spans="1:21" x14ac:dyDescent="0.25">
      <c r="A21" t="s">
        <v>83</v>
      </c>
      <c r="B21" s="1">
        <v>46160</v>
      </c>
      <c r="C21" s="2">
        <v>0.97847222222222219</v>
      </c>
      <c r="D21" t="s">
        <v>305</v>
      </c>
      <c r="E21">
        <v>30242</v>
      </c>
      <c r="F21" t="s">
        <v>85</v>
      </c>
      <c r="G21" t="s">
        <v>23</v>
      </c>
      <c r="H21">
        <v>1</v>
      </c>
      <c r="I21" t="s">
        <v>32</v>
      </c>
      <c r="J21" t="s">
        <v>241</v>
      </c>
      <c r="K21" t="s">
        <v>52</v>
      </c>
      <c r="L21" t="s">
        <v>410</v>
      </c>
      <c r="M21" t="s">
        <v>583</v>
      </c>
      <c r="N21">
        <v>1</v>
      </c>
      <c r="O21" t="b">
        <v>0</v>
      </c>
      <c r="P21" t="s">
        <v>26</v>
      </c>
      <c r="Q21" t="s">
        <v>27</v>
      </c>
      <c r="T21" t="s">
        <v>83</v>
      </c>
      <c r="U21" s="4">
        <f t="shared" si="0"/>
        <v>46160</v>
      </c>
    </row>
    <row r="22" spans="1:21" x14ac:dyDescent="0.25">
      <c r="A22" t="s">
        <v>86</v>
      </c>
      <c r="B22" s="1">
        <v>46160</v>
      </c>
      <c r="C22" s="2">
        <v>0.90902777777777777</v>
      </c>
      <c r="D22" t="s">
        <v>306</v>
      </c>
      <c r="E22">
        <v>30081</v>
      </c>
      <c r="F22" t="s">
        <v>87</v>
      </c>
      <c r="G22" t="s">
        <v>23</v>
      </c>
      <c r="H22">
        <v>2</v>
      </c>
      <c r="I22" t="s">
        <v>57</v>
      </c>
      <c r="J22" t="s">
        <v>241</v>
      </c>
      <c r="K22" t="s">
        <v>249</v>
      </c>
      <c r="L22" t="s">
        <v>411</v>
      </c>
      <c r="M22" t="s">
        <v>583</v>
      </c>
      <c r="N22">
        <v>1</v>
      </c>
      <c r="O22" t="b">
        <v>0</v>
      </c>
      <c r="P22" t="s">
        <v>26</v>
      </c>
      <c r="Q22" t="s">
        <v>38</v>
      </c>
      <c r="R22" t="s">
        <v>88</v>
      </c>
      <c r="T22" t="s">
        <v>28</v>
      </c>
      <c r="U22" s="4">
        <f t="shared" si="0"/>
        <v>46160</v>
      </c>
    </row>
    <row r="23" spans="1:21" x14ac:dyDescent="0.25">
      <c r="A23" t="s">
        <v>89</v>
      </c>
      <c r="B23" s="1">
        <v>46160</v>
      </c>
      <c r="C23" s="2">
        <v>0.87777777777777777</v>
      </c>
      <c r="D23" t="s">
        <v>307</v>
      </c>
      <c r="E23">
        <v>30023</v>
      </c>
      <c r="F23" t="s">
        <v>90</v>
      </c>
      <c r="G23" t="s">
        <v>37</v>
      </c>
      <c r="H23">
        <v>2</v>
      </c>
      <c r="I23" t="s">
        <v>74</v>
      </c>
      <c r="J23" t="s">
        <v>241</v>
      </c>
      <c r="K23" t="s">
        <v>523</v>
      </c>
      <c r="M23" t="s">
        <v>583</v>
      </c>
      <c r="N23">
        <v>4</v>
      </c>
      <c r="O23" t="b">
        <v>0</v>
      </c>
      <c r="P23" t="s">
        <v>26</v>
      </c>
      <c r="Q23" t="s">
        <v>91</v>
      </c>
      <c r="R23" t="s">
        <v>92</v>
      </c>
      <c r="T23" t="s">
        <v>28</v>
      </c>
      <c r="U23" s="4">
        <f t="shared" si="0"/>
        <v>46160</v>
      </c>
    </row>
    <row r="24" spans="1:21" x14ac:dyDescent="0.25">
      <c r="A24" t="s">
        <v>89</v>
      </c>
      <c r="B24" s="1">
        <v>46160</v>
      </c>
      <c r="C24" s="2">
        <v>0.90902777777777777</v>
      </c>
      <c r="D24" t="s">
        <v>300</v>
      </c>
      <c r="E24">
        <v>30245</v>
      </c>
      <c r="F24" t="s">
        <v>73</v>
      </c>
      <c r="G24" t="s">
        <v>23</v>
      </c>
      <c r="H24">
        <v>1</v>
      </c>
      <c r="I24" t="s">
        <v>74</v>
      </c>
      <c r="J24" t="s">
        <v>241</v>
      </c>
      <c r="K24" t="s">
        <v>246</v>
      </c>
      <c r="L24" t="s">
        <v>412</v>
      </c>
      <c r="M24" t="s">
        <v>583</v>
      </c>
      <c r="N24">
        <v>1</v>
      </c>
      <c r="O24" t="b">
        <v>0</v>
      </c>
      <c r="P24" t="s">
        <v>26</v>
      </c>
      <c r="Q24" t="s">
        <v>27</v>
      </c>
      <c r="T24" t="s">
        <v>28</v>
      </c>
      <c r="U24" s="4">
        <f t="shared" si="0"/>
        <v>46160</v>
      </c>
    </row>
    <row r="25" spans="1:21" x14ac:dyDescent="0.25">
      <c r="A25" t="s">
        <v>93</v>
      </c>
      <c r="B25" s="1">
        <v>46160</v>
      </c>
      <c r="C25" s="2">
        <v>0.90902777777777777</v>
      </c>
      <c r="D25" t="s">
        <v>308</v>
      </c>
      <c r="E25">
        <v>30720</v>
      </c>
      <c r="F25" t="s">
        <v>94</v>
      </c>
      <c r="G25" t="s">
        <v>23</v>
      </c>
      <c r="H25">
        <v>3</v>
      </c>
      <c r="I25" t="s">
        <v>67</v>
      </c>
      <c r="J25" t="s">
        <v>241</v>
      </c>
      <c r="K25" t="s">
        <v>249</v>
      </c>
      <c r="L25" t="s">
        <v>413</v>
      </c>
      <c r="M25" t="s">
        <v>507</v>
      </c>
      <c r="N25">
        <v>1</v>
      </c>
      <c r="O25" t="b">
        <v>0</v>
      </c>
      <c r="P25" t="s">
        <v>26</v>
      </c>
      <c r="Q25" t="s">
        <v>41</v>
      </c>
      <c r="R25" t="s">
        <v>49</v>
      </c>
      <c r="T25" t="s">
        <v>28</v>
      </c>
      <c r="U25" s="4">
        <f t="shared" si="0"/>
        <v>46160</v>
      </c>
    </row>
    <row r="26" spans="1:21" x14ac:dyDescent="0.25">
      <c r="A26" t="s">
        <v>95</v>
      </c>
      <c r="B26" s="1">
        <v>46160</v>
      </c>
      <c r="C26" s="2">
        <v>0.98055555555555551</v>
      </c>
      <c r="D26" t="s">
        <v>309</v>
      </c>
      <c r="E26">
        <v>30109</v>
      </c>
      <c r="F26" t="s">
        <v>96</v>
      </c>
      <c r="G26" t="s">
        <v>23</v>
      </c>
      <c r="H26">
        <v>5</v>
      </c>
      <c r="I26" t="s">
        <v>71</v>
      </c>
      <c r="J26" t="s">
        <v>241</v>
      </c>
      <c r="K26" t="s">
        <v>52</v>
      </c>
      <c r="L26" t="s">
        <v>414</v>
      </c>
      <c r="M26" t="s">
        <v>508</v>
      </c>
      <c r="N26">
        <v>1</v>
      </c>
      <c r="O26" t="b">
        <v>0</v>
      </c>
      <c r="P26" t="s">
        <v>26</v>
      </c>
      <c r="Q26" t="s">
        <v>41</v>
      </c>
      <c r="R26" t="s">
        <v>42</v>
      </c>
      <c r="T26" t="s">
        <v>95</v>
      </c>
      <c r="U26" s="4">
        <f t="shared" si="0"/>
        <v>46160</v>
      </c>
    </row>
    <row r="27" spans="1:21" x14ac:dyDescent="0.25">
      <c r="A27" t="s">
        <v>97</v>
      </c>
      <c r="B27" s="1">
        <v>46160</v>
      </c>
      <c r="C27" s="2">
        <v>0.97916666666666663</v>
      </c>
      <c r="D27" t="s">
        <v>299</v>
      </c>
      <c r="E27">
        <v>30244</v>
      </c>
      <c r="F27" t="s">
        <v>70</v>
      </c>
      <c r="G27" t="s">
        <v>23</v>
      </c>
      <c r="H27">
        <v>1</v>
      </c>
      <c r="I27" t="s">
        <v>71</v>
      </c>
      <c r="J27" t="s">
        <v>241</v>
      </c>
      <c r="K27" t="s">
        <v>52</v>
      </c>
      <c r="L27" t="s">
        <v>402</v>
      </c>
      <c r="M27" t="s">
        <v>583</v>
      </c>
      <c r="N27">
        <v>1</v>
      </c>
      <c r="O27" t="b">
        <v>0</v>
      </c>
      <c r="P27" t="s">
        <v>26</v>
      </c>
      <c r="Q27" t="s">
        <v>27</v>
      </c>
      <c r="T27" t="s">
        <v>97</v>
      </c>
      <c r="U27" s="4">
        <f t="shared" si="0"/>
        <v>46160</v>
      </c>
    </row>
    <row r="28" spans="1:21" x14ac:dyDescent="0.25">
      <c r="A28" t="s">
        <v>98</v>
      </c>
      <c r="B28" s="1">
        <v>46161</v>
      </c>
      <c r="C28" s="2">
        <v>0.90069444444444446</v>
      </c>
      <c r="D28" t="s">
        <v>310</v>
      </c>
      <c r="E28">
        <v>30029</v>
      </c>
      <c r="F28" t="s">
        <v>99</v>
      </c>
      <c r="G28" t="s">
        <v>31</v>
      </c>
      <c r="H28">
        <v>2</v>
      </c>
      <c r="I28" t="s">
        <v>51</v>
      </c>
      <c r="J28" t="s">
        <v>100</v>
      </c>
      <c r="K28" t="s">
        <v>524</v>
      </c>
      <c r="L28" t="s">
        <v>415</v>
      </c>
      <c r="M28" t="s">
        <v>583</v>
      </c>
      <c r="N28">
        <v>3</v>
      </c>
      <c r="O28" t="b">
        <v>0</v>
      </c>
      <c r="P28" t="s">
        <v>26</v>
      </c>
      <c r="Q28" t="s">
        <v>53</v>
      </c>
      <c r="R28" t="s">
        <v>102</v>
      </c>
      <c r="S28" t="s">
        <v>103</v>
      </c>
      <c r="T28" t="s">
        <v>98</v>
      </c>
      <c r="U28" s="4">
        <f t="shared" si="0"/>
        <v>46161</v>
      </c>
    </row>
    <row r="29" spans="1:21" x14ac:dyDescent="0.25">
      <c r="A29" t="s">
        <v>104</v>
      </c>
      <c r="B29" s="1">
        <v>46161</v>
      </c>
      <c r="C29" s="2">
        <v>0.90138888888888891</v>
      </c>
      <c r="D29" t="s">
        <v>311</v>
      </c>
      <c r="E29">
        <v>29949</v>
      </c>
      <c r="F29" t="s">
        <v>105</v>
      </c>
      <c r="G29" t="s">
        <v>40</v>
      </c>
      <c r="H29">
        <v>3</v>
      </c>
      <c r="I29" t="s">
        <v>24</v>
      </c>
      <c r="J29" t="s">
        <v>100</v>
      </c>
      <c r="K29" t="s">
        <v>205</v>
      </c>
      <c r="L29" t="s">
        <v>400</v>
      </c>
      <c r="M29" t="s">
        <v>583</v>
      </c>
      <c r="N29">
        <v>2</v>
      </c>
      <c r="O29" t="b">
        <v>0</v>
      </c>
      <c r="P29" t="s">
        <v>26</v>
      </c>
      <c r="Q29" t="s">
        <v>106</v>
      </c>
      <c r="R29" t="s">
        <v>107</v>
      </c>
      <c r="T29" t="s">
        <v>98</v>
      </c>
      <c r="U29" s="4">
        <f t="shared" si="0"/>
        <v>46161</v>
      </c>
    </row>
    <row r="30" spans="1:21" x14ac:dyDescent="0.25">
      <c r="A30" t="s">
        <v>55</v>
      </c>
      <c r="B30" s="1">
        <v>46161</v>
      </c>
      <c r="C30" s="2">
        <v>0.91111111111111109</v>
      </c>
      <c r="D30" t="s">
        <v>312</v>
      </c>
      <c r="E30">
        <v>29983</v>
      </c>
      <c r="F30" t="s">
        <v>108</v>
      </c>
      <c r="G30" t="s">
        <v>31</v>
      </c>
      <c r="H30">
        <v>1</v>
      </c>
      <c r="I30" t="s">
        <v>57</v>
      </c>
      <c r="J30" t="s">
        <v>100</v>
      </c>
      <c r="K30" t="s">
        <v>286</v>
      </c>
      <c r="L30" t="s">
        <v>416</v>
      </c>
      <c r="M30" t="s">
        <v>583</v>
      </c>
      <c r="N30">
        <v>3</v>
      </c>
      <c r="O30" t="b">
        <v>0</v>
      </c>
      <c r="P30" t="s">
        <v>26</v>
      </c>
      <c r="Q30" t="s">
        <v>38</v>
      </c>
      <c r="R30" t="s">
        <v>109</v>
      </c>
      <c r="T30" t="s">
        <v>98</v>
      </c>
      <c r="U30" s="4">
        <f t="shared" si="0"/>
        <v>46161</v>
      </c>
    </row>
    <row r="31" spans="1:21" x14ac:dyDescent="0.25">
      <c r="A31" t="s">
        <v>55</v>
      </c>
      <c r="B31" s="1">
        <v>46161</v>
      </c>
      <c r="C31" s="2">
        <v>0.92986111111111114</v>
      </c>
      <c r="D31" t="s">
        <v>313</v>
      </c>
      <c r="E31">
        <v>30249</v>
      </c>
      <c r="F31" t="s">
        <v>110</v>
      </c>
      <c r="G31" t="s">
        <v>23</v>
      </c>
      <c r="H31">
        <v>0</v>
      </c>
      <c r="I31" t="s">
        <v>57</v>
      </c>
      <c r="J31" t="s">
        <v>100</v>
      </c>
      <c r="K31" t="s">
        <v>286</v>
      </c>
      <c r="L31" t="s">
        <v>417</v>
      </c>
      <c r="M31" t="s">
        <v>583</v>
      </c>
      <c r="N31">
        <v>1</v>
      </c>
      <c r="O31" t="b">
        <v>0</v>
      </c>
      <c r="P31" t="s">
        <v>26</v>
      </c>
      <c r="Q31" t="s">
        <v>27</v>
      </c>
      <c r="T31" t="s">
        <v>98</v>
      </c>
      <c r="U31" s="4">
        <f t="shared" si="0"/>
        <v>46161</v>
      </c>
    </row>
    <row r="32" spans="1:21" x14ac:dyDescent="0.25">
      <c r="A32" t="s">
        <v>77</v>
      </c>
      <c r="B32" s="1">
        <v>46161</v>
      </c>
      <c r="C32" s="2">
        <v>0.90069444444444446</v>
      </c>
      <c r="D32" t="s">
        <v>314</v>
      </c>
      <c r="E32">
        <v>29918</v>
      </c>
      <c r="F32" t="s">
        <v>111</v>
      </c>
      <c r="G32" t="s">
        <v>23</v>
      </c>
      <c r="H32">
        <v>3</v>
      </c>
      <c r="I32" t="s">
        <v>51</v>
      </c>
      <c r="J32" t="s">
        <v>100</v>
      </c>
      <c r="K32" t="s">
        <v>205</v>
      </c>
      <c r="L32" t="s">
        <v>418</v>
      </c>
      <c r="M32" t="s">
        <v>583</v>
      </c>
      <c r="N32">
        <v>1</v>
      </c>
      <c r="O32" t="b">
        <v>0</v>
      </c>
      <c r="P32" t="s">
        <v>26</v>
      </c>
      <c r="Q32" t="s">
        <v>112</v>
      </c>
      <c r="R32" t="s">
        <v>113</v>
      </c>
      <c r="T32" t="s">
        <v>98</v>
      </c>
      <c r="U32" s="4">
        <f t="shared" si="0"/>
        <v>46161</v>
      </c>
    </row>
    <row r="33" spans="1:21" x14ac:dyDescent="0.25">
      <c r="A33" t="s">
        <v>83</v>
      </c>
      <c r="B33" s="1">
        <v>46161</v>
      </c>
      <c r="C33" s="2">
        <v>0.93055555555555558</v>
      </c>
      <c r="D33" t="s">
        <v>315</v>
      </c>
      <c r="E33">
        <v>32267</v>
      </c>
      <c r="F33" t="s">
        <v>114</v>
      </c>
      <c r="G33" t="s">
        <v>23</v>
      </c>
      <c r="H33">
        <v>1</v>
      </c>
      <c r="I33" t="s">
        <v>32</v>
      </c>
      <c r="J33" t="s">
        <v>100</v>
      </c>
      <c r="K33" t="s">
        <v>287</v>
      </c>
      <c r="L33" t="s">
        <v>419</v>
      </c>
      <c r="M33" t="s">
        <v>583</v>
      </c>
      <c r="N33">
        <v>1</v>
      </c>
      <c r="O33" t="b">
        <v>0</v>
      </c>
      <c r="P33" t="s">
        <v>26</v>
      </c>
      <c r="Q33" t="s">
        <v>38</v>
      </c>
      <c r="R33" t="s">
        <v>88</v>
      </c>
      <c r="T33" t="s">
        <v>98</v>
      </c>
      <c r="U33" s="4">
        <f t="shared" si="0"/>
        <v>46161</v>
      </c>
    </row>
    <row r="34" spans="1:21" x14ac:dyDescent="0.25">
      <c r="A34" t="s">
        <v>83</v>
      </c>
      <c r="B34" s="1">
        <v>46161</v>
      </c>
      <c r="C34" s="2">
        <v>0.93055555555555558</v>
      </c>
      <c r="D34" t="s">
        <v>316</v>
      </c>
      <c r="E34">
        <v>30028</v>
      </c>
      <c r="F34" t="s">
        <v>115</v>
      </c>
      <c r="G34" t="s">
        <v>23</v>
      </c>
      <c r="H34">
        <v>1</v>
      </c>
      <c r="I34" t="s">
        <v>32</v>
      </c>
      <c r="J34" t="s">
        <v>100</v>
      </c>
      <c r="K34" t="s">
        <v>524</v>
      </c>
      <c r="L34" t="s">
        <v>420</v>
      </c>
      <c r="M34" t="s">
        <v>509</v>
      </c>
      <c r="N34">
        <v>1</v>
      </c>
      <c r="O34" t="b">
        <v>0</v>
      </c>
      <c r="P34" t="s">
        <v>26</v>
      </c>
      <c r="Q34" t="s">
        <v>41</v>
      </c>
      <c r="R34" t="s">
        <v>42</v>
      </c>
      <c r="T34" t="s">
        <v>98</v>
      </c>
      <c r="U34" s="4">
        <f t="shared" ref="U34:U65" si="1">IF(B34="","",B34)</f>
        <v>46161</v>
      </c>
    </row>
    <row r="35" spans="1:21" x14ac:dyDescent="0.25">
      <c r="A35" t="s">
        <v>86</v>
      </c>
      <c r="B35" s="1">
        <v>46161</v>
      </c>
      <c r="C35" s="2">
        <v>0.90208333333333335</v>
      </c>
      <c r="D35" t="s">
        <v>317</v>
      </c>
      <c r="E35">
        <v>29924</v>
      </c>
      <c r="F35" t="s">
        <v>116</v>
      </c>
      <c r="G35" t="s">
        <v>40</v>
      </c>
      <c r="H35">
        <v>2</v>
      </c>
      <c r="I35" t="s">
        <v>57</v>
      </c>
      <c r="J35" t="s">
        <v>100</v>
      </c>
      <c r="K35" t="s">
        <v>205</v>
      </c>
      <c r="L35" t="s">
        <v>421</v>
      </c>
      <c r="M35" t="s">
        <v>510</v>
      </c>
      <c r="N35">
        <v>2</v>
      </c>
      <c r="O35" t="b">
        <v>0</v>
      </c>
      <c r="P35" t="s">
        <v>26</v>
      </c>
      <c r="Q35" t="s">
        <v>117</v>
      </c>
      <c r="R35" t="s">
        <v>118</v>
      </c>
      <c r="T35" t="s">
        <v>98</v>
      </c>
      <c r="U35" s="4">
        <f t="shared" si="1"/>
        <v>46161</v>
      </c>
    </row>
    <row r="36" spans="1:21" x14ac:dyDescent="0.25">
      <c r="A36" t="s">
        <v>86</v>
      </c>
      <c r="B36" s="1">
        <v>46161</v>
      </c>
      <c r="C36" s="2">
        <v>0.93055555555555558</v>
      </c>
      <c r="D36" t="s">
        <v>318</v>
      </c>
      <c r="E36">
        <v>29950</v>
      </c>
      <c r="F36" t="s">
        <v>119</v>
      </c>
      <c r="G36" t="s">
        <v>40</v>
      </c>
      <c r="H36">
        <v>0</v>
      </c>
      <c r="I36" t="s">
        <v>57</v>
      </c>
      <c r="J36" t="s">
        <v>100</v>
      </c>
      <c r="K36" t="s">
        <v>287</v>
      </c>
      <c r="L36" t="s">
        <v>422</v>
      </c>
      <c r="M36" t="s">
        <v>583</v>
      </c>
      <c r="N36">
        <v>2</v>
      </c>
      <c r="O36" t="b">
        <v>0</v>
      </c>
      <c r="P36" t="s">
        <v>26</v>
      </c>
      <c r="Q36" t="s">
        <v>38</v>
      </c>
      <c r="R36" t="s">
        <v>120</v>
      </c>
      <c r="T36" t="s">
        <v>98</v>
      </c>
      <c r="U36" s="4">
        <f t="shared" si="1"/>
        <v>46161</v>
      </c>
    </row>
    <row r="37" spans="1:21" x14ac:dyDescent="0.25">
      <c r="A37" t="s">
        <v>86</v>
      </c>
      <c r="B37" s="1">
        <v>46161</v>
      </c>
      <c r="C37" s="2">
        <v>0.93125000000000002</v>
      </c>
      <c r="D37" t="s">
        <v>319</v>
      </c>
      <c r="E37">
        <v>30322</v>
      </c>
      <c r="F37" t="s">
        <v>121</v>
      </c>
      <c r="G37" t="s">
        <v>40</v>
      </c>
      <c r="H37">
        <v>1</v>
      </c>
      <c r="I37" t="s">
        <v>57</v>
      </c>
      <c r="J37" t="s">
        <v>100</v>
      </c>
      <c r="K37" t="s">
        <v>523</v>
      </c>
      <c r="M37" t="s">
        <v>583</v>
      </c>
      <c r="N37">
        <v>2</v>
      </c>
      <c r="O37" t="b">
        <v>0</v>
      </c>
      <c r="P37" t="s">
        <v>26</v>
      </c>
      <c r="Q37" t="s">
        <v>122</v>
      </c>
      <c r="T37" t="s">
        <v>98</v>
      </c>
      <c r="U37" s="4">
        <f t="shared" si="1"/>
        <v>46161</v>
      </c>
    </row>
    <row r="38" spans="1:21" x14ac:dyDescent="0.25">
      <c r="A38" t="s">
        <v>93</v>
      </c>
      <c r="B38" s="1">
        <v>46161</v>
      </c>
      <c r="C38" s="2">
        <v>0.92986111111111114</v>
      </c>
      <c r="D38" t="s">
        <v>320</v>
      </c>
      <c r="E38">
        <v>30250</v>
      </c>
      <c r="F38" t="s">
        <v>123</v>
      </c>
      <c r="G38" t="s">
        <v>23</v>
      </c>
      <c r="H38">
        <v>2</v>
      </c>
      <c r="I38" t="s">
        <v>67</v>
      </c>
      <c r="J38" t="s">
        <v>100</v>
      </c>
      <c r="K38" t="s">
        <v>286</v>
      </c>
      <c r="L38" t="s">
        <v>423</v>
      </c>
      <c r="M38" t="s">
        <v>583</v>
      </c>
      <c r="N38">
        <v>1</v>
      </c>
      <c r="O38" t="b">
        <v>0</v>
      </c>
      <c r="P38" t="s">
        <v>26</v>
      </c>
      <c r="Q38" t="s">
        <v>27</v>
      </c>
      <c r="T38" t="s">
        <v>98</v>
      </c>
      <c r="U38" s="4">
        <f t="shared" si="1"/>
        <v>46161</v>
      </c>
    </row>
    <row r="39" spans="1:21" x14ac:dyDescent="0.25">
      <c r="A39" t="s">
        <v>124</v>
      </c>
      <c r="B39" s="1">
        <v>46161</v>
      </c>
      <c r="C39" s="2">
        <v>0.90069444444444446</v>
      </c>
      <c r="D39" t="s">
        <v>310</v>
      </c>
      <c r="E39">
        <v>30029</v>
      </c>
      <c r="F39" t="s">
        <v>99</v>
      </c>
      <c r="G39" t="s">
        <v>37</v>
      </c>
      <c r="H39">
        <v>0</v>
      </c>
      <c r="I39" t="s">
        <v>51</v>
      </c>
      <c r="J39" t="s">
        <v>100</v>
      </c>
      <c r="K39" t="s">
        <v>524</v>
      </c>
      <c r="L39" t="s">
        <v>424</v>
      </c>
      <c r="M39" t="s">
        <v>583</v>
      </c>
      <c r="N39">
        <v>4</v>
      </c>
      <c r="O39" t="b">
        <v>0</v>
      </c>
      <c r="P39" t="s">
        <v>26</v>
      </c>
      <c r="Q39" t="s">
        <v>53</v>
      </c>
      <c r="R39" t="s">
        <v>102</v>
      </c>
      <c r="T39" t="s">
        <v>98</v>
      </c>
      <c r="U39" s="4">
        <f t="shared" si="1"/>
        <v>46161</v>
      </c>
    </row>
    <row r="40" spans="1:21" x14ac:dyDescent="0.25">
      <c r="A40" t="s">
        <v>124</v>
      </c>
      <c r="B40" s="1">
        <v>46161</v>
      </c>
      <c r="C40" s="2">
        <v>0.92986111111111114</v>
      </c>
      <c r="D40" t="s">
        <v>313</v>
      </c>
      <c r="E40">
        <v>30249</v>
      </c>
      <c r="F40" t="s">
        <v>110</v>
      </c>
      <c r="G40" t="s">
        <v>23</v>
      </c>
      <c r="H40">
        <v>0</v>
      </c>
      <c r="I40" t="s">
        <v>51</v>
      </c>
      <c r="J40" t="s">
        <v>100</v>
      </c>
      <c r="K40" t="s">
        <v>286</v>
      </c>
      <c r="L40" t="s">
        <v>425</v>
      </c>
      <c r="M40" t="s">
        <v>583</v>
      </c>
      <c r="N40">
        <v>1</v>
      </c>
      <c r="O40" t="b">
        <v>0</v>
      </c>
      <c r="P40" t="s">
        <v>26</v>
      </c>
      <c r="Q40" t="s">
        <v>27</v>
      </c>
      <c r="T40" t="s">
        <v>98</v>
      </c>
      <c r="U40" s="4">
        <f t="shared" si="1"/>
        <v>46161</v>
      </c>
    </row>
    <row r="41" spans="1:21" x14ac:dyDescent="0.25">
      <c r="A41" t="s">
        <v>95</v>
      </c>
      <c r="B41" s="1">
        <v>46161</v>
      </c>
      <c r="C41" s="2">
        <v>0.93125000000000002</v>
      </c>
      <c r="D41" t="s">
        <v>321</v>
      </c>
      <c r="E41">
        <v>30449</v>
      </c>
      <c r="F41" t="s">
        <v>125</v>
      </c>
      <c r="G41" t="s">
        <v>37</v>
      </c>
      <c r="H41">
        <v>2</v>
      </c>
      <c r="I41" t="s">
        <v>71</v>
      </c>
      <c r="J41" t="s">
        <v>100</v>
      </c>
      <c r="K41" t="s">
        <v>287</v>
      </c>
      <c r="L41" t="s">
        <v>426</v>
      </c>
      <c r="M41" t="s">
        <v>511</v>
      </c>
      <c r="N41">
        <v>4</v>
      </c>
      <c r="O41" t="b">
        <v>0</v>
      </c>
      <c r="P41" t="s">
        <v>26</v>
      </c>
      <c r="Q41" t="s">
        <v>41</v>
      </c>
      <c r="R41" t="s">
        <v>49</v>
      </c>
      <c r="T41" t="s">
        <v>98</v>
      </c>
      <c r="U41" s="4">
        <f t="shared" si="1"/>
        <v>46161</v>
      </c>
    </row>
    <row r="42" spans="1:21" x14ac:dyDescent="0.25">
      <c r="A42" t="s">
        <v>126</v>
      </c>
      <c r="B42" s="1">
        <v>46163</v>
      </c>
      <c r="C42" s="2">
        <v>0.87638888888888888</v>
      </c>
      <c r="D42" t="s">
        <v>322</v>
      </c>
      <c r="E42">
        <v>30055</v>
      </c>
      <c r="F42" t="s">
        <v>127</v>
      </c>
      <c r="G42" t="s">
        <v>23</v>
      </c>
      <c r="H42">
        <v>4</v>
      </c>
      <c r="I42" t="s">
        <v>57</v>
      </c>
      <c r="J42" t="s">
        <v>241</v>
      </c>
      <c r="K42" t="s">
        <v>242</v>
      </c>
      <c r="L42" t="s">
        <v>427</v>
      </c>
      <c r="M42" t="s">
        <v>583</v>
      </c>
      <c r="N42">
        <v>1</v>
      </c>
      <c r="O42" t="b">
        <v>0</v>
      </c>
      <c r="P42" t="s">
        <v>26</v>
      </c>
      <c r="Q42" t="s">
        <v>53</v>
      </c>
      <c r="R42" t="s">
        <v>76</v>
      </c>
      <c r="T42" t="s">
        <v>28</v>
      </c>
      <c r="U42" s="4">
        <f t="shared" si="1"/>
        <v>46163</v>
      </c>
    </row>
    <row r="43" spans="1:21" x14ac:dyDescent="0.25">
      <c r="A43" t="s">
        <v>126</v>
      </c>
      <c r="B43" s="1">
        <v>46163</v>
      </c>
      <c r="C43" s="2">
        <v>0.89236111111111116</v>
      </c>
      <c r="D43" t="s">
        <v>323</v>
      </c>
      <c r="E43">
        <v>30246</v>
      </c>
      <c r="F43" t="s">
        <v>129</v>
      </c>
      <c r="G43" t="s">
        <v>23</v>
      </c>
      <c r="H43">
        <v>3</v>
      </c>
      <c r="I43" t="s">
        <v>57</v>
      </c>
      <c r="J43" t="s">
        <v>241</v>
      </c>
      <c r="K43" t="s">
        <v>246</v>
      </c>
      <c r="L43" t="s">
        <v>422</v>
      </c>
      <c r="M43" t="s">
        <v>583</v>
      </c>
      <c r="N43">
        <v>1</v>
      </c>
      <c r="O43" t="b">
        <v>0</v>
      </c>
      <c r="P43" t="s">
        <v>26</v>
      </c>
      <c r="Q43" t="s">
        <v>27</v>
      </c>
      <c r="T43" t="s">
        <v>28</v>
      </c>
      <c r="U43" s="4">
        <f t="shared" si="1"/>
        <v>46163</v>
      </c>
    </row>
    <row r="44" spans="1:21" x14ac:dyDescent="0.25">
      <c r="A44" t="s">
        <v>130</v>
      </c>
      <c r="B44" s="1">
        <v>46163</v>
      </c>
      <c r="C44" s="2">
        <v>0.89236111111111116</v>
      </c>
      <c r="D44" t="s">
        <v>323</v>
      </c>
      <c r="E44">
        <v>30246</v>
      </c>
      <c r="F44" t="s">
        <v>129</v>
      </c>
      <c r="G44" t="s">
        <v>23</v>
      </c>
      <c r="H44">
        <v>4</v>
      </c>
      <c r="I44" t="s">
        <v>48</v>
      </c>
      <c r="J44" t="s">
        <v>241</v>
      </c>
      <c r="K44" t="s">
        <v>246</v>
      </c>
      <c r="L44" t="s">
        <v>428</v>
      </c>
      <c r="M44" t="s">
        <v>583</v>
      </c>
      <c r="N44">
        <v>1</v>
      </c>
      <c r="O44" t="b">
        <v>0</v>
      </c>
      <c r="P44" t="s">
        <v>26</v>
      </c>
      <c r="Q44" t="s">
        <v>27</v>
      </c>
      <c r="T44" t="s">
        <v>28</v>
      </c>
      <c r="U44" s="4">
        <f t="shared" si="1"/>
        <v>46163</v>
      </c>
    </row>
    <row r="45" spans="1:21" x14ac:dyDescent="0.25">
      <c r="A45" t="s">
        <v>28</v>
      </c>
      <c r="B45" s="1">
        <v>46163</v>
      </c>
      <c r="C45" s="2">
        <v>0.88055555555555554</v>
      </c>
      <c r="D45" t="s">
        <v>324</v>
      </c>
      <c r="E45">
        <v>30240</v>
      </c>
      <c r="F45" t="s">
        <v>131</v>
      </c>
      <c r="G45" t="s">
        <v>23</v>
      </c>
      <c r="H45">
        <v>4</v>
      </c>
      <c r="I45" t="s">
        <v>51</v>
      </c>
      <c r="J45" t="s">
        <v>241</v>
      </c>
      <c r="K45" t="s">
        <v>270</v>
      </c>
      <c r="L45" t="s">
        <v>429</v>
      </c>
      <c r="M45" t="s">
        <v>583</v>
      </c>
      <c r="N45">
        <v>1</v>
      </c>
      <c r="O45" t="b">
        <v>0</v>
      </c>
      <c r="P45" t="s">
        <v>26</v>
      </c>
      <c r="Q45" t="s">
        <v>27</v>
      </c>
      <c r="T45" t="s">
        <v>28</v>
      </c>
      <c r="U45" s="4">
        <f t="shared" si="1"/>
        <v>46163</v>
      </c>
    </row>
    <row r="46" spans="1:21" x14ac:dyDescent="0.25">
      <c r="A46" t="s">
        <v>55</v>
      </c>
      <c r="B46" s="1">
        <v>46163</v>
      </c>
      <c r="C46" s="2">
        <v>0.87916666666666665</v>
      </c>
      <c r="D46" t="s">
        <v>325</v>
      </c>
      <c r="E46">
        <v>30099</v>
      </c>
      <c r="F46" t="s">
        <v>132</v>
      </c>
      <c r="G46" t="s">
        <v>37</v>
      </c>
      <c r="H46">
        <v>0</v>
      </c>
      <c r="I46" t="s">
        <v>57</v>
      </c>
      <c r="J46" t="s">
        <v>241</v>
      </c>
      <c r="K46" t="s">
        <v>246</v>
      </c>
      <c r="L46" t="s">
        <v>375</v>
      </c>
      <c r="M46" t="s">
        <v>583</v>
      </c>
      <c r="N46">
        <v>4</v>
      </c>
      <c r="O46" t="b">
        <v>0</v>
      </c>
      <c r="P46" t="s">
        <v>26</v>
      </c>
      <c r="Q46" t="s">
        <v>41</v>
      </c>
      <c r="R46" t="s">
        <v>68</v>
      </c>
      <c r="T46" t="s">
        <v>28</v>
      </c>
      <c r="U46" s="4">
        <f t="shared" si="1"/>
        <v>46163</v>
      </c>
    </row>
    <row r="47" spans="1:21" x14ac:dyDescent="0.25">
      <c r="A47" t="s">
        <v>55</v>
      </c>
      <c r="B47" s="1">
        <v>46163</v>
      </c>
      <c r="C47" s="2">
        <v>0.88055555555555554</v>
      </c>
      <c r="D47" t="s">
        <v>326</v>
      </c>
      <c r="E47">
        <v>30096</v>
      </c>
      <c r="F47" t="s">
        <v>133</v>
      </c>
      <c r="G47" t="s">
        <v>37</v>
      </c>
      <c r="H47">
        <v>4</v>
      </c>
      <c r="I47" t="s">
        <v>57</v>
      </c>
      <c r="J47" t="s">
        <v>241</v>
      </c>
      <c r="K47" t="s">
        <v>270</v>
      </c>
      <c r="L47" t="s">
        <v>430</v>
      </c>
      <c r="M47" t="s">
        <v>583</v>
      </c>
      <c r="N47">
        <v>4</v>
      </c>
      <c r="O47" t="b">
        <v>0</v>
      </c>
      <c r="P47" t="s">
        <v>26</v>
      </c>
      <c r="Q47" t="s">
        <v>38</v>
      </c>
      <c r="R47" t="s">
        <v>54</v>
      </c>
      <c r="T47" t="s">
        <v>28</v>
      </c>
      <c r="U47" s="4">
        <f t="shared" si="1"/>
        <v>46163</v>
      </c>
    </row>
    <row r="48" spans="1:21" x14ac:dyDescent="0.25">
      <c r="A48" t="s">
        <v>72</v>
      </c>
      <c r="B48" s="1">
        <v>46163</v>
      </c>
      <c r="C48" s="2">
        <v>0.87986111111111109</v>
      </c>
      <c r="D48" t="s">
        <v>304</v>
      </c>
      <c r="E48">
        <v>30239</v>
      </c>
      <c r="F48" t="s">
        <v>84</v>
      </c>
      <c r="G48" t="s">
        <v>23</v>
      </c>
      <c r="H48">
        <v>5</v>
      </c>
      <c r="I48" t="s">
        <v>74</v>
      </c>
      <c r="J48" t="s">
        <v>241</v>
      </c>
      <c r="K48" t="s">
        <v>270</v>
      </c>
      <c r="L48" t="s">
        <v>431</v>
      </c>
      <c r="M48" t="s">
        <v>583</v>
      </c>
      <c r="N48">
        <v>1</v>
      </c>
      <c r="O48" t="b">
        <v>0</v>
      </c>
      <c r="P48" t="s">
        <v>26</v>
      </c>
      <c r="Q48" t="s">
        <v>27</v>
      </c>
      <c r="T48" t="s">
        <v>28</v>
      </c>
      <c r="U48" s="4">
        <f t="shared" si="1"/>
        <v>46163</v>
      </c>
    </row>
    <row r="49" spans="1:21" x14ac:dyDescent="0.25">
      <c r="A49" t="s">
        <v>77</v>
      </c>
      <c r="B49" s="1">
        <v>46163</v>
      </c>
      <c r="C49" s="2">
        <v>0.89444444444444449</v>
      </c>
      <c r="D49" t="s">
        <v>327</v>
      </c>
      <c r="E49">
        <v>30079</v>
      </c>
      <c r="F49" t="s">
        <v>134</v>
      </c>
      <c r="G49" t="s">
        <v>31</v>
      </c>
      <c r="H49">
        <v>0</v>
      </c>
      <c r="I49" t="s">
        <v>51</v>
      </c>
      <c r="J49" t="s">
        <v>241</v>
      </c>
      <c r="K49" t="s">
        <v>523</v>
      </c>
      <c r="L49" t="s">
        <v>432</v>
      </c>
      <c r="M49" t="s">
        <v>583</v>
      </c>
      <c r="N49" t="s">
        <v>135</v>
      </c>
      <c r="O49" t="b">
        <v>0</v>
      </c>
      <c r="P49" t="s">
        <v>26</v>
      </c>
      <c r="Q49" t="s">
        <v>112</v>
      </c>
      <c r="R49" t="s">
        <v>76</v>
      </c>
      <c r="T49" t="s">
        <v>28</v>
      </c>
      <c r="U49" s="4">
        <f t="shared" si="1"/>
        <v>46163</v>
      </c>
    </row>
    <row r="50" spans="1:21" x14ac:dyDescent="0.25">
      <c r="A50" t="s">
        <v>83</v>
      </c>
      <c r="B50" s="1">
        <v>46163</v>
      </c>
      <c r="C50" s="2">
        <v>0.87708333333333333</v>
      </c>
      <c r="D50" t="s">
        <v>328</v>
      </c>
      <c r="E50">
        <v>33054</v>
      </c>
      <c r="F50" t="s">
        <v>136</v>
      </c>
      <c r="G50" t="s">
        <v>31</v>
      </c>
      <c r="H50">
        <v>1</v>
      </c>
      <c r="I50" t="s">
        <v>32</v>
      </c>
      <c r="J50" t="s">
        <v>241</v>
      </c>
      <c r="K50" t="s">
        <v>260</v>
      </c>
      <c r="L50" t="s">
        <v>433</v>
      </c>
      <c r="M50" t="s">
        <v>512</v>
      </c>
      <c r="N50">
        <v>3</v>
      </c>
      <c r="O50" t="b">
        <v>0</v>
      </c>
      <c r="P50" t="s">
        <v>26</v>
      </c>
      <c r="Q50" t="s">
        <v>41</v>
      </c>
      <c r="R50" t="s">
        <v>42</v>
      </c>
      <c r="T50" t="s">
        <v>28</v>
      </c>
      <c r="U50" s="4">
        <f t="shared" si="1"/>
        <v>46163</v>
      </c>
    </row>
    <row r="51" spans="1:21" x14ac:dyDescent="0.25">
      <c r="A51" t="s">
        <v>86</v>
      </c>
      <c r="B51" s="1">
        <v>46163</v>
      </c>
      <c r="C51" s="2">
        <v>0.89444444444444449</v>
      </c>
      <c r="D51" t="s">
        <v>329</v>
      </c>
      <c r="E51">
        <v>30082</v>
      </c>
      <c r="F51" t="s">
        <v>137</v>
      </c>
      <c r="G51" t="s">
        <v>23</v>
      </c>
      <c r="H51">
        <v>0</v>
      </c>
      <c r="I51" t="s">
        <v>57</v>
      </c>
      <c r="J51" t="s">
        <v>241</v>
      </c>
      <c r="K51" t="s">
        <v>249</v>
      </c>
      <c r="L51" t="s">
        <v>421</v>
      </c>
      <c r="M51" t="s">
        <v>317</v>
      </c>
      <c r="N51">
        <v>1</v>
      </c>
      <c r="O51" t="b">
        <v>0</v>
      </c>
      <c r="P51" t="s">
        <v>26</v>
      </c>
      <c r="Q51" t="s">
        <v>138</v>
      </c>
      <c r="R51" t="s">
        <v>118</v>
      </c>
      <c r="T51" t="s">
        <v>28</v>
      </c>
      <c r="U51" s="4">
        <f t="shared" si="1"/>
        <v>46163</v>
      </c>
    </row>
    <row r="52" spans="1:21" x14ac:dyDescent="0.25">
      <c r="A52" t="s">
        <v>93</v>
      </c>
      <c r="B52" s="1">
        <v>46163</v>
      </c>
      <c r="C52" s="2">
        <v>0.87986111111111109</v>
      </c>
      <c r="D52" t="s">
        <v>288</v>
      </c>
      <c r="E52">
        <v>30241</v>
      </c>
      <c r="F52" t="s">
        <v>22</v>
      </c>
      <c r="G52" t="s">
        <v>23</v>
      </c>
      <c r="H52">
        <v>5</v>
      </c>
      <c r="I52" t="s">
        <v>67</v>
      </c>
      <c r="J52" t="s">
        <v>241</v>
      </c>
      <c r="K52" t="s">
        <v>270</v>
      </c>
      <c r="L52" t="s">
        <v>434</v>
      </c>
      <c r="M52" t="s">
        <v>583</v>
      </c>
      <c r="N52">
        <v>1</v>
      </c>
      <c r="O52" t="b">
        <v>0</v>
      </c>
      <c r="P52" t="s">
        <v>26</v>
      </c>
      <c r="Q52" t="s">
        <v>27</v>
      </c>
      <c r="T52" t="s">
        <v>28</v>
      </c>
      <c r="U52" s="4">
        <f t="shared" si="1"/>
        <v>46163</v>
      </c>
    </row>
    <row r="53" spans="1:21" x14ac:dyDescent="0.25">
      <c r="A53" t="s">
        <v>124</v>
      </c>
      <c r="B53" s="1">
        <v>46163</v>
      </c>
      <c r="C53" s="2">
        <v>0.87708333333333333</v>
      </c>
      <c r="D53" t="s">
        <v>330</v>
      </c>
      <c r="E53">
        <v>32516</v>
      </c>
      <c r="F53" t="s">
        <v>139</v>
      </c>
      <c r="G53" t="s">
        <v>31</v>
      </c>
      <c r="H53">
        <v>3</v>
      </c>
      <c r="I53" t="s">
        <v>51</v>
      </c>
      <c r="J53" t="s">
        <v>241</v>
      </c>
      <c r="K53" t="s">
        <v>242</v>
      </c>
      <c r="L53" t="s">
        <v>435</v>
      </c>
      <c r="M53" t="s">
        <v>583</v>
      </c>
      <c r="N53">
        <v>3</v>
      </c>
      <c r="O53" t="b">
        <v>0</v>
      </c>
      <c r="P53" t="s">
        <v>26</v>
      </c>
      <c r="Q53" t="s">
        <v>112</v>
      </c>
      <c r="R53" t="s">
        <v>113</v>
      </c>
      <c r="T53" t="s">
        <v>28</v>
      </c>
      <c r="U53" s="4">
        <f t="shared" si="1"/>
        <v>46163</v>
      </c>
    </row>
    <row r="54" spans="1:21" x14ac:dyDescent="0.25">
      <c r="A54" t="s">
        <v>95</v>
      </c>
      <c r="B54" s="1">
        <v>46163</v>
      </c>
      <c r="C54" s="2">
        <v>0.88194444444444442</v>
      </c>
      <c r="D54" t="s">
        <v>331</v>
      </c>
      <c r="E54">
        <v>30247</v>
      </c>
      <c r="F54" t="s">
        <v>140</v>
      </c>
      <c r="G54" t="s">
        <v>23</v>
      </c>
      <c r="H54">
        <v>2</v>
      </c>
      <c r="I54" t="s">
        <v>71</v>
      </c>
      <c r="J54" t="s">
        <v>241</v>
      </c>
      <c r="K54" t="s">
        <v>246</v>
      </c>
      <c r="L54" t="s">
        <v>412</v>
      </c>
      <c r="M54" t="s">
        <v>583</v>
      </c>
      <c r="N54">
        <v>1</v>
      </c>
      <c r="O54" t="b">
        <v>0</v>
      </c>
      <c r="P54" t="s">
        <v>26</v>
      </c>
      <c r="Q54" t="s">
        <v>27</v>
      </c>
      <c r="T54" t="s">
        <v>28</v>
      </c>
      <c r="U54" s="4">
        <f t="shared" si="1"/>
        <v>46163</v>
      </c>
    </row>
    <row r="55" spans="1:21" x14ac:dyDescent="0.25">
      <c r="A55" t="s">
        <v>141</v>
      </c>
      <c r="B55" s="1">
        <v>46163</v>
      </c>
      <c r="C55" s="2">
        <v>0.87708333333333333</v>
      </c>
      <c r="D55" t="s">
        <v>332</v>
      </c>
      <c r="E55">
        <v>30060</v>
      </c>
      <c r="F55" t="s">
        <v>142</v>
      </c>
      <c r="G55" t="s">
        <v>31</v>
      </c>
      <c r="H55">
        <v>1</v>
      </c>
      <c r="I55" t="s">
        <v>74</v>
      </c>
      <c r="J55" t="s">
        <v>241</v>
      </c>
      <c r="K55" t="s">
        <v>260</v>
      </c>
      <c r="L55" t="s">
        <v>436</v>
      </c>
      <c r="M55" t="s">
        <v>583</v>
      </c>
      <c r="N55">
        <v>3</v>
      </c>
      <c r="O55" t="b">
        <v>0</v>
      </c>
      <c r="P55" t="s">
        <v>26</v>
      </c>
      <c r="Q55" t="s">
        <v>53</v>
      </c>
      <c r="R55" t="s">
        <v>88</v>
      </c>
      <c r="T55" t="s">
        <v>28</v>
      </c>
      <c r="U55" s="4">
        <f t="shared" si="1"/>
        <v>46163</v>
      </c>
    </row>
    <row r="56" spans="1:21" x14ac:dyDescent="0.25">
      <c r="A56" t="s">
        <v>143</v>
      </c>
      <c r="B56" s="1">
        <v>46163</v>
      </c>
      <c r="C56" s="2">
        <v>0.89444444444444449</v>
      </c>
      <c r="D56" t="s">
        <v>333</v>
      </c>
      <c r="E56">
        <v>30084</v>
      </c>
      <c r="F56" t="s">
        <v>144</v>
      </c>
      <c r="G56" t="s">
        <v>23</v>
      </c>
      <c r="H56">
        <v>1</v>
      </c>
      <c r="I56" t="s">
        <v>32</v>
      </c>
      <c r="J56" t="s">
        <v>241</v>
      </c>
      <c r="K56" t="s">
        <v>249</v>
      </c>
      <c r="L56" t="s">
        <v>437</v>
      </c>
      <c r="M56" t="s">
        <v>583</v>
      </c>
      <c r="N56">
        <v>1</v>
      </c>
      <c r="O56" t="b">
        <v>0</v>
      </c>
      <c r="P56" t="s">
        <v>26</v>
      </c>
      <c r="Q56" t="s">
        <v>38</v>
      </c>
      <c r="R56" t="s">
        <v>76</v>
      </c>
      <c r="S56" t="s">
        <v>145</v>
      </c>
      <c r="T56" t="s">
        <v>28</v>
      </c>
      <c r="U56" s="4">
        <f t="shared" si="1"/>
        <v>46163</v>
      </c>
    </row>
    <row r="57" spans="1:21" x14ac:dyDescent="0.25">
      <c r="A57" t="s">
        <v>130</v>
      </c>
      <c r="B57" s="1">
        <v>46167</v>
      </c>
      <c r="C57" s="2">
        <v>0.89236111111111116</v>
      </c>
      <c r="D57" t="s">
        <v>334</v>
      </c>
      <c r="E57">
        <v>29992</v>
      </c>
      <c r="F57" t="s">
        <v>146</v>
      </c>
      <c r="G57" t="s">
        <v>23</v>
      </c>
      <c r="H57">
        <v>5</v>
      </c>
      <c r="I57" t="s">
        <v>48</v>
      </c>
      <c r="J57" t="s">
        <v>100</v>
      </c>
      <c r="K57" t="s">
        <v>101</v>
      </c>
      <c r="L57" t="s">
        <v>438</v>
      </c>
      <c r="M57" t="s">
        <v>583</v>
      </c>
      <c r="N57">
        <v>1</v>
      </c>
      <c r="O57" t="b">
        <v>0</v>
      </c>
      <c r="P57" t="s">
        <v>26</v>
      </c>
      <c r="Q57" t="s">
        <v>112</v>
      </c>
      <c r="R57" t="s">
        <v>147</v>
      </c>
      <c r="T57" t="s">
        <v>80</v>
      </c>
      <c r="U57" s="4">
        <f t="shared" si="1"/>
        <v>46167</v>
      </c>
    </row>
    <row r="58" spans="1:21" x14ac:dyDescent="0.25">
      <c r="A58" t="s">
        <v>98</v>
      </c>
      <c r="B58" s="1">
        <v>46167</v>
      </c>
      <c r="C58" s="2">
        <v>0.89583333333333337</v>
      </c>
      <c r="D58" t="s">
        <v>335</v>
      </c>
      <c r="E58">
        <v>29984</v>
      </c>
      <c r="F58" t="s">
        <v>148</v>
      </c>
      <c r="G58" t="s">
        <v>40</v>
      </c>
      <c r="H58">
        <v>2</v>
      </c>
      <c r="I58" t="s">
        <v>51</v>
      </c>
      <c r="J58" t="s">
        <v>100</v>
      </c>
      <c r="K58" t="s">
        <v>286</v>
      </c>
      <c r="L58" t="s">
        <v>439</v>
      </c>
      <c r="M58" t="s">
        <v>583</v>
      </c>
      <c r="N58">
        <v>2</v>
      </c>
      <c r="O58" t="b">
        <v>0</v>
      </c>
      <c r="P58" t="s">
        <v>26</v>
      </c>
      <c r="Q58" t="s">
        <v>53</v>
      </c>
      <c r="R58" t="s">
        <v>54</v>
      </c>
      <c r="S58" t="s">
        <v>149</v>
      </c>
      <c r="T58" t="s">
        <v>80</v>
      </c>
      <c r="U58" s="4">
        <f t="shared" si="1"/>
        <v>46167</v>
      </c>
    </row>
    <row r="59" spans="1:21" x14ac:dyDescent="0.25">
      <c r="A59" t="s">
        <v>21</v>
      </c>
      <c r="B59" s="1">
        <v>46167</v>
      </c>
      <c r="C59" s="2">
        <v>0.89375000000000004</v>
      </c>
      <c r="D59" t="s">
        <v>336</v>
      </c>
      <c r="E59">
        <v>30238</v>
      </c>
      <c r="F59" t="s">
        <v>150</v>
      </c>
      <c r="G59" t="s">
        <v>23</v>
      </c>
      <c r="H59">
        <v>0</v>
      </c>
      <c r="I59" t="s">
        <v>24</v>
      </c>
      <c r="J59" t="s">
        <v>100</v>
      </c>
      <c r="K59" t="s">
        <v>101</v>
      </c>
      <c r="L59" t="s">
        <v>440</v>
      </c>
      <c r="M59" t="s">
        <v>583</v>
      </c>
      <c r="N59">
        <v>1</v>
      </c>
      <c r="O59" t="b">
        <v>0</v>
      </c>
      <c r="P59" t="s">
        <v>26</v>
      </c>
      <c r="Q59" t="s">
        <v>27</v>
      </c>
      <c r="T59" t="s">
        <v>80</v>
      </c>
      <c r="U59" s="4">
        <f t="shared" si="1"/>
        <v>46167</v>
      </c>
    </row>
    <row r="60" spans="1:21" x14ac:dyDescent="0.25">
      <c r="A60" t="s">
        <v>21</v>
      </c>
      <c r="B60" s="1">
        <v>46167</v>
      </c>
      <c r="C60" s="2">
        <v>0.90069444444444446</v>
      </c>
      <c r="D60" t="s">
        <v>337</v>
      </c>
      <c r="E60">
        <v>29951</v>
      </c>
      <c r="F60" t="s">
        <v>151</v>
      </c>
      <c r="G60" t="s">
        <v>40</v>
      </c>
      <c r="H60">
        <v>0</v>
      </c>
      <c r="I60" t="s">
        <v>24</v>
      </c>
      <c r="J60" t="s">
        <v>100</v>
      </c>
      <c r="K60" t="s">
        <v>287</v>
      </c>
      <c r="L60" t="s">
        <v>441</v>
      </c>
      <c r="M60" t="s">
        <v>583</v>
      </c>
      <c r="N60">
        <v>2</v>
      </c>
      <c r="O60" t="b">
        <v>0</v>
      </c>
      <c r="P60" t="s">
        <v>26</v>
      </c>
      <c r="Q60" t="s">
        <v>34</v>
      </c>
      <c r="R60" t="s">
        <v>88</v>
      </c>
      <c r="T60" t="s">
        <v>80</v>
      </c>
      <c r="U60" s="4">
        <f t="shared" si="1"/>
        <v>46167</v>
      </c>
    </row>
    <row r="61" spans="1:21" x14ac:dyDescent="0.25">
      <c r="A61" t="s">
        <v>29</v>
      </c>
      <c r="B61" s="1">
        <v>46167</v>
      </c>
      <c r="C61" s="2">
        <v>0.89513888888888893</v>
      </c>
      <c r="D61" t="s">
        <v>338</v>
      </c>
      <c r="E61">
        <v>29947</v>
      </c>
      <c r="F61" t="s">
        <v>152</v>
      </c>
      <c r="G61" t="s">
        <v>23</v>
      </c>
      <c r="H61">
        <v>3</v>
      </c>
      <c r="I61" t="s">
        <v>32</v>
      </c>
      <c r="J61" t="s">
        <v>100</v>
      </c>
      <c r="K61" t="s">
        <v>205</v>
      </c>
      <c r="L61" t="s">
        <v>442</v>
      </c>
      <c r="M61" t="s">
        <v>583</v>
      </c>
      <c r="N61">
        <v>1</v>
      </c>
      <c r="O61" t="b">
        <v>0</v>
      </c>
      <c r="P61" t="s">
        <v>26</v>
      </c>
      <c r="Q61" t="s">
        <v>53</v>
      </c>
      <c r="R61" t="s">
        <v>102</v>
      </c>
      <c r="T61" t="s">
        <v>80</v>
      </c>
      <c r="U61" s="4">
        <f t="shared" si="1"/>
        <v>46167</v>
      </c>
    </row>
    <row r="62" spans="1:21" x14ac:dyDescent="0.25">
      <c r="A62" t="s">
        <v>46</v>
      </c>
      <c r="B62" s="1">
        <v>46167</v>
      </c>
      <c r="C62" s="2">
        <v>0.89166666666666672</v>
      </c>
      <c r="D62" t="s">
        <v>313</v>
      </c>
      <c r="E62">
        <v>30249</v>
      </c>
      <c r="F62" t="s">
        <v>110</v>
      </c>
      <c r="G62" t="s">
        <v>23</v>
      </c>
      <c r="H62">
        <v>2</v>
      </c>
      <c r="I62" t="s">
        <v>48</v>
      </c>
      <c r="J62" t="s">
        <v>100</v>
      </c>
      <c r="K62" t="s">
        <v>286</v>
      </c>
      <c r="L62" t="s">
        <v>443</v>
      </c>
      <c r="M62" t="s">
        <v>583</v>
      </c>
      <c r="N62">
        <v>1</v>
      </c>
      <c r="O62" t="b">
        <v>0</v>
      </c>
      <c r="P62" t="s">
        <v>26</v>
      </c>
      <c r="Q62" t="s">
        <v>27</v>
      </c>
      <c r="T62" t="s">
        <v>80</v>
      </c>
      <c r="U62" s="4">
        <f t="shared" si="1"/>
        <v>46167</v>
      </c>
    </row>
    <row r="63" spans="1:21" x14ac:dyDescent="0.25">
      <c r="A63" t="s">
        <v>153</v>
      </c>
      <c r="B63" s="1">
        <v>46167</v>
      </c>
      <c r="C63" s="2">
        <v>0.89375000000000004</v>
      </c>
      <c r="D63" t="s">
        <v>320</v>
      </c>
      <c r="E63">
        <v>30250</v>
      </c>
      <c r="F63" t="s">
        <v>123</v>
      </c>
      <c r="G63" t="s">
        <v>23</v>
      </c>
      <c r="H63">
        <v>2</v>
      </c>
      <c r="I63" t="s">
        <v>67</v>
      </c>
      <c r="J63" t="s">
        <v>100</v>
      </c>
      <c r="K63" t="s">
        <v>286</v>
      </c>
      <c r="L63" t="s">
        <v>444</v>
      </c>
      <c r="M63" t="s">
        <v>583</v>
      </c>
      <c r="N63">
        <v>1</v>
      </c>
      <c r="O63" t="b">
        <v>0</v>
      </c>
      <c r="P63" t="s">
        <v>26</v>
      </c>
      <c r="Q63" t="s">
        <v>27</v>
      </c>
      <c r="T63" t="s">
        <v>80</v>
      </c>
      <c r="U63" s="4">
        <f t="shared" si="1"/>
        <v>46167</v>
      </c>
    </row>
    <row r="64" spans="1:21" x14ac:dyDescent="0.25">
      <c r="A64" t="s">
        <v>153</v>
      </c>
      <c r="B64" s="1">
        <v>46167</v>
      </c>
      <c r="C64" s="2">
        <v>0.89375000000000004</v>
      </c>
      <c r="D64" t="s">
        <v>336</v>
      </c>
      <c r="E64">
        <v>30238</v>
      </c>
      <c r="F64" t="s">
        <v>150</v>
      </c>
      <c r="G64" t="s">
        <v>23</v>
      </c>
      <c r="H64">
        <v>0</v>
      </c>
      <c r="I64" t="s">
        <v>67</v>
      </c>
      <c r="J64" t="s">
        <v>100</v>
      </c>
      <c r="K64" t="s">
        <v>101</v>
      </c>
      <c r="L64" t="s">
        <v>445</v>
      </c>
      <c r="M64" t="s">
        <v>583</v>
      </c>
      <c r="N64">
        <v>1</v>
      </c>
      <c r="O64" t="b">
        <v>0</v>
      </c>
      <c r="P64" t="s">
        <v>26</v>
      </c>
      <c r="Q64" t="s">
        <v>27</v>
      </c>
      <c r="T64" t="s">
        <v>80</v>
      </c>
      <c r="U64" s="4">
        <f t="shared" si="1"/>
        <v>46167</v>
      </c>
    </row>
    <row r="65" spans="1:21" x14ac:dyDescent="0.25">
      <c r="A65" t="s">
        <v>153</v>
      </c>
      <c r="B65" s="1">
        <v>46167</v>
      </c>
      <c r="C65" s="2">
        <v>0.9</v>
      </c>
      <c r="D65" t="s">
        <v>339</v>
      </c>
      <c r="E65">
        <v>29972</v>
      </c>
      <c r="F65" t="s">
        <v>154</v>
      </c>
      <c r="G65" t="s">
        <v>31</v>
      </c>
      <c r="H65">
        <v>0</v>
      </c>
      <c r="I65" t="s">
        <v>67</v>
      </c>
      <c r="J65" t="s">
        <v>100</v>
      </c>
      <c r="K65" t="s">
        <v>287</v>
      </c>
      <c r="L65" t="s">
        <v>446</v>
      </c>
      <c r="M65" t="s">
        <v>583</v>
      </c>
      <c r="N65">
        <v>3</v>
      </c>
      <c r="O65" t="b">
        <v>0</v>
      </c>
      <c r="P65" t="s">
        <v>26</v>
      </c>
      <c r="Q65" t="s">
        <v>112</v>
      </c>
      <c r="R65" t="s">
        <v>120</v>
      </c>
      <c r="T65" t="s">
        <v>80</v>
      </c>
      <c r="U65" s="4">
        <f t="shared" si="1"/>
        <v>46167</v>
      </c>
    </row>
    <row r="66" spans="1:21" x14ac:dyDescent="0.25">
      <c r="A66" t="s">
        <v>28</v>
      </c>
      <c r="B66" s="1">
        <v>46167</v>
      </c>
      <c r="C66" s="2">
        <v>0.89097222222222228</v>
      </c>
      <c r="D66" t="s">
        <v>313</v>
      </c>
      <c r="E66">
        <v>30249</v>
      </c>
      <c r="F66" t="s">
        <v>110</v>
      </c>
      <c r="G66" t="s">
        <v>23</v>
      </c>
      <c r="H66">
        <v>4</v>
      </c>
      <c r="I66" t="s">
        <v>51</v>
      </c>
      <c r="J66" t="s">
        <v>100</v>
      </c>
      <c r="K66" t="s">
        <v>286</v>
      </c>
      <c r="L66" t="s">
        <v>432</v>
      </c>
      <c r="M66" t="s">
        <v>583</v>
      </c>
      <c r="N66">
        <v>1</v>
      </c>
      <c r="O66" t="b">
        <v>0</v>
      </c>
      <c r="P66" t="s">
        <v>26</v>
      </c>
      <c r="Q66" t="s">
        <v>27</v>
      </c>
      <c r="T66" t="s">
        <v>80</v>
      </c>
      <c r="U66" s="4">
        <f t="shared" ref="U66:U94" si="2">IF(B66="","",B66)</f>
        <v>46167</v>
      </c>
    </row>
    <row r="67" spans="1:21" x14ac:dyDescent="0.25">
      <c r="A67" t="s">
        <v>55</v>
      </c>
      <c r="B67" s="1">
        <v>46167</v>
      </c>
      <c r="C67" s="2">
        <v>0.8930555555555556</v>
      </c>
      <c r="D67" t="s">
        <v>340</v>
      </c>
      <c r="E67">
        <v>30237</v>
      </c>
      <c r="F67" t="s">
        <v>155</v>
      </c>
      <c r="G67" t="s">
        <v>23</v>
      </c>
      <c r="H67">
        <v>3</v>
      </c>
      <c r="I67" t="s">
        <v>57</v>
      </c>
      <c r="J67" t="s">
        <v>100</v>
      </c>
      <c r="K67" t="s">
        <v>101</v>
      </c>
      <c r="L67" t="s">
        <v>447</v>
      </c>
      <c r="M67" t="s">
        <v>583</v>
      </c>
      <c r="N67">
        <v>1</v>
      </c>
      <c r="O67" t="b">
        <v>0</v>
      </c>
      <c r="P67" t="s">
        <v>26</v>
      </c>
      <c r="Q67" t="s">
        <v>27</v>
      </c>
      <c r="T67" t="s">
        <v>80</v>
      </c>
      <c r="U67" s="4">
        <f t="shared" si="2"/>
        <v>46167</v>
      </c>
    </row>
    <row r="68" spans="1:21" x14ac:dyDescent="0.25">
      <c r="A68" t="s">
        <v>72</v>
      </c>
      <c r="B68" s="1">
        <v>46167</v>
      </c>
      <c r="C68" s="2">
        <v>0.89722222222222225</v>
      </c>
      <c r="D68" t="s">
        <v>341</v>
      </c>
      <c r="E68">
        <v>29920</v>
      </c>
      <c r="F68" t="s">
        <v>156</v>
      </c>
      <c r="G68" t="s">
        <v>23</v>
      </c>
      <c r="H68">
        <v>0</v>
      </c>
      <c r="I68" t="s">
        <v>74</v>
      </c>
      <c r="J68" t="s">
        <v>100</v>
      </c>
      <c r="K68" t="s">
        <v>205</v>
      </c>
      <c r="L68" t="s">
        <v>448</v>
      </c>
      <c r="M68" t="s">
        <v>513</v>
      </c>
      <c r="N68">
        <v>1</v>
      </c>
      <c r="O68" t="b">
        <v>0</v>
      </c>
      <c r="P68" t="s">
        <v>26</v>
      </c>
      <c r="Q68" t="s">
        <v>41</v>
      </c>
      <c r="R68" t="s">
        <v>42</v>
      </c>
      <c r="T68" t="s">
        <v>80</v>
      </c>
      <c r="U68" s="4">
        <f t="shared" si="2"/>
        <v>46167</v>
      </c>
    </row>
    <row r="69" spans="1:21" x14ac:dyDescent="0.25">
      <c r="A69" t="s">
        <v>157</v>
      </c>
      <c r="B69" s="1">
        <v>46167</v>
      </c>
      <c r="C69" s="2">
        <v>0.90208333333333335</v>
      </c>
      <c r="D69" t="s">
        <v>342</v>
      </c>
      <c r="E69">
        <v>30026</v>
      </c>
      <c r="F69" t="s">
        <v>158</v>
      </c>
      <c r="G69" t="s">
        <v>31</v>
      </c>
      <c r="H69">
        <v>1</v>
      </c>
      <c r="I69" t="s">
        <v>74</v>
      </c>
      <c r="J69" t="s">
        <v>100</v>
      </c>
      <c r="K69" t="s">
        <v>524</v>
      </c>
      <c r="L69" t="s">
        <v>449</v>
      </c>
      <c r="M69" t="s">
        <v>583</v>
      </c>
      <c r="N69">
        <v>3</v>
      </c>
      <c r="O69" t="b">
        <v>0</v>
      </c>
      <c r="P69" t="s">
        <v>26</v>
      </c>
      <c r="Q69" t="s">
        <v>34</v>
      </c>
      <c r="R69" t="s">
        <v>113</v>
      </c>
      <c r="T69" t="s">
        <v>80</v>
      </c>
      <c r="U69" s="4">
        <f t="shared" si="2"/>
        <v>46167</v>
      </c>
    </row>
    <row r="70" spans="1:21" x14ac:dyDescent="0.25">
      <c r="A70" t="s">
        <v>83</v>
      </c>
      <c r="B70" s="1">
        <v>46167</v>
      </c>
      <c r="C70" s="2">
        <v>0.9</v>
      </c>
      <c r="D70" t="s">
        <v>343</v>
      </c>
      <c r="E70">
        <v>30447</v>
      </c>
      <c r="F70" t="s">
        <v>159</v>
      </c>
      <c r="G70" t="s">
        <v>160</v>
      </c>
      <c r="H70">
        <v>0</v>
      </c>
      <c r="I70" t="s">
        <v>32</v>
      </c>
      <c r="J70" t="s">
        <v>100</v>
      </c>
      <c r="K70" t="s">
        <v>205</v>
      </c>
      <c r="L70" t="s">
        <v>413</v>
      </c>
      <c r="M70" t="s">
        <v>514</v>
      </c>
      <c r="N70" t="s">
        <v>63</v>
      </c>
      <c r="O70" t="b">
        <v>0</v>
      </c>
      <c r="P70" t="s">
        <v>26</v>
      </c>
      <c r="Q70" t="s">
        <v>41</v>
      </c>
      <c r="R70" t="s">
        <v>49</v>
      </c>
      <c r="T70" t="s">
        <v>80</v>
      </c>
      <c r="U70" s="4">
        <f t="shared" si="2"/>
        <v>46167</v>
      </c>
    </row>
    <row r="71" spans="1:21" x14ac:dyDescent="0.25">
      <c r="A71" t="s">
        <v>83</v>
      </c>
      <c r="B71" s="1">
        <v>46167</v>
      </c>
      <c r="C71" s="2">
        <v>0.90069444444444446</v>
      </c>
      <c r="D71" t="s">
        <v>344</v>
      </c>
      <c r="E71">
        <v>32405</v>
      </c>
      <c r="F71" t="s">
        <v>161</v>
      </c>
      <c r="G71" t="s">
        <v>23</v>
      </c>
      <c r="H71">
        <v>2</v>
      </c>
      <c r="I71" t="s">
        <v>32</v>
      </c>
      <c r="J71" t="s">
        <v>100</v>
      </c>
      <c r="K71" t="s">
        <v>101</v>
      </c>
      <c r="M71" t="s">
        <v>583</v>
      </c>
      <c r="N71">
        <v>1</v>
      </c>
      <c r="O71" t="b">
        <v>0</v>
      </c>
      <c r="P71" t="s">
        <v>26</v>
      </c>
      <c r="Q71" t="s">
        <v>162</v>
      </c>
      <c r="T71" t="s">
        <v>80</v>
      </c>
      <c r="U71" s="4">
        <f t="shared" si="2"/>
        <v>46167</v>
      </c>
    </row>
    <row r="72" spans="1:21" x14ac:dyDescent="0.25">
      <c r="A72" t="s">
        <v>163</v>
      </c>
      <c r="B72" s="1">
        <v>46167</v>
      </c>
      <c r="C72" s="2">
        <v>0.89722222222222225</v>
      </c>
      <c r="D72" t="s">
        <v>345</v>
      </c>
      <c r="E72">
        <v>29962</v>
      </c>
      <c r="F72" t="s">
        <v>164</v>
      </c>
      <c r="G72" t="s">
        <v>37</v>
      </c>
      <c r="H72">
        <v>0</v>
      </c>
      <c r="I72" t="s">
        <v>165</v>
      </c>
      <c r="J72" t="s">
        <v>100</v>
      </c>
      <c r="K72" t="s">
        <v>287</v>
      </c>
      <c r="L72" t="s">
        <v>450</v>
      </c>
      <c r="M72" t="s">
        <v>515</v>
      </c>
      <c r="N72">
        <v>4</v>
      </c>
      <c r="O72" t="b">
        <v>0</v>
      </c>
      <c r="P72" t="s">
        <v>26</v>
      </c>
      <c r="Q72" t="s">
        <v>166</v>
      </c>
      <c r="R72" t="s">
        <v>118</v>
      </c>
      <c r="T72" t="s">
        <v>80</v>
      </c>
      <c r="U72" s="4">
        <f t="shared" si="2"/>
        <v>46167</v>
      </c>
    </row>
    <row r="73" spans="1:21" x14ac:dyDescent="0.25">
      <c r="A73" t="s">
        <v>143</v>
      </c>
      <c r="B73" s="1">
        <v>46167</v>
      </c>
      <c r="C73" s="2">
        <v>0.89444444444444449</v>
      </c>
      <c r="D73" t="s">
        <v>310</v>
      </c>
      <c r="E73">
        <v>30029</v>
      </c>
      <c r="F73" t="s">
        <v>99</v>
      </c>
      <c r="G73" t="s">
        <v>31</v>
      </c>
      <c r="H73">
        <v>1</v>
      </c>
      <c r="I73" t="s">
        <v>32</v>
      </c>
      <c r="J73" t="s">
        <v>100</v>
      </c>
      <c r="K73" t="s">
        <v>524</v>
      </c>
      <c r="L73" t="s">
        <v>424</v>
      </c>
      <c r="M73" t="s">
        <v>583</v>
      </c>
      <c r="N73">
        <v>3</v>
      </c>
      <c r="O73" t="b">
        <v>0</v>
      </c>
      <c r="P73" t="s">
        <v>26</v>
      </c>
      <c r="Q73" t="s">
        <v>53</v>
      </c>
      <c r="R73" t="s">
        <v>102</v>
      </c>
      <c r="T73" t="s">
        <v>80</v>
      </c>
      <c r="U73" s="4">
        <f t="shared" si="2"/>
        <v>46167</v>
      </c>
    </row>
    <row r="74" spans="1:21" x14ac:dyDescent="0.25">
      <c r="A74" t="s">
        <v>69</v>
      </c>
      <c r="B74" s="1">
        <v>46170</v>
      </c>
      <c r="C74" s="2">
        <v>0.84583333333333333</v>
      </c>
      <c r="D74" t="s">
        <v>331</v>
      </c>
      <c r="E74">
        <v>30247</v>
      </c>
      <c r="F74" t="s">
        <v>140</v>
      </c>
      <c r="G74" t="s">
        <v>23</v>
      </c>
      <c r="H74">
        <v>2</v>
      </c>
      <c r="I74" t="s">
        <v>71</v>
      </c>
      <c r="J74" t="s">
        <v>241</v>
      </c>
      <c r="K74" t="s">
        <v>246</v>
      </c>
      <c r="L74" t="s">
        <v>412</v>
      </c>
      <c r="M74" t="s">
        <v>583</v>
      </c>
      <c r="N74">
        <v>1</v>
      </c>
      <c r="O74" t="b">
        <v>0</v>
      </c>
      <c r="P74" t="s">
        <v>26</v>
      </c>
      <c r="Q74" t="s">
        <v>27</v>
      </c>
      <c r="T74" t="s">
        <v>28</v>
      </c>
      <c r="U74" s="4">
        <f t="shared" si="2"/>
        <v>46170</v>
      </c>
    </row>
    <row r="75" spans="1:21" x14ac:dyDescent="0.25">
      <c r="A75" t="s">
        <v>167</v>
      </c>
      <c r="B75" s="1">
        <v>46170</v>
      </c>
      <c r="C75" s="2">
        <v>0.85833333333333328</v>
      </c>
      <c r="D75" t="s">
        <v>346</v>
      </c>
      <c r="E75">
        <v>30075</v>
      </c>
      <c r="F75" t="s">
        <v>168</v>
      </c>
      <c r="G75" t="s">
        <v>31</v>
      </c>
      <c r="H75">
        <v>3</v>
      </c>
      <c r="I75" t="s">
        <v>74</v>
      </c>
      <c r="J75" t="s">
        <v>241</v>
      </c>
      <c r="K75" t="s">
        <v>249</v>
      </c>
      <c r="L75" t="s">
        <v>451</v>
      </c>
      <c r="M75" t="s">
        <v>583</v>
      </c>
      <c r="N75">
        <v>3</v>
      </c>
      <c r="O75" t="b">
        <v>0</v>
      </c>
      <c r="P75" t="s">
        <v>26</v>
      </c>
      <c r="Q75" t="s">
        <v>53</v>
      </c>
      <c r="R75" t="s">
        <v>35</v>
      </c>
      <c r="T75" t="s">
        <v>28</v>
      </c>
      <c r="U75" s="4">
        <f t="shared" si="2"/>
        <v>46170</v>
      </c>
    </row>
    <row r="76" spans="1:21" x14ac:dyDescent="0.25">
      <c r="A76" t="s">
        <v>167</v>
      </c>
      <c r="B76" s="1">
        <v>46170</v>
      </c>
      <c r="C76" s="2">
        <v>0.89444444444444449</v>
      </c>
      <c r="D76" t="s">
        <v>347</v>
      </c>
      <c r="E76">
        <v>28822</v>
      </c>
      <c r="F76" t="s">
        <v>169</v>
      </c>
      <c r="G76" t="s">
        <v>31</v>
      </c>
      <c r="H76">
        <v>3</v>
      </c>
      <c r="I76" t="s">
        <v>74</v>
      </c>
      <c r="J76" t="s">
        <v>584</v>
      </c>
      <c r="K76" t="s">
        <v>526</v>
      </c>
      <c r="L76" t="s">
        <v>452</v>
      </c>
      <c r="M76" t="s">
        <v>583</v>
      </c>
      <c r="N76">
        <v>3</v>
      </c>
      <c r="O76" t="b">
        <v>0</v>
      </c>
      <c r="P76" t="s">
        <v>26</v>
      </c>
      <c r="Q76" t="s">
        <v>41</v>
      </c>
      <c r="R76" t="s">
        <v>68</v>
      </c>
      <c r="T76" t="s">
        <v>28</v>
      </c>
      <c r="U76" s="4">
        <f t="shared" si="2"/>
        <v>46170</v>
      </c>
    </row>
    <row r="77" spans="1:21" x14ac:dyDescent="0.25">
      <c r="A77" t="s">
        <v>104</v>
      </c>
      <c r="B77" s="1">
        <v>46170</v>
      </c>
      <c r="C77" s="2">
        <v>0.87777777777777777</v>
      </c>
      <c r="D77" t="s">
        <v>299</v>
      </c>
      <c r="E77">
        <v>30244</v>
      </c>
      <c r="F77" t="s">
        <v>70</v>
      </c>
      <c r="G77" t="s">
        <v>23</v>
      </c>
      <c r="H77">
        <v>2</v>
      </c>
      <c r="I77" t="s">
        <v>24</v>
      </c>
      <c r="J77" t="s">
        <v>241</v>
      </c>
      <c r="K77" t="s">
        <v>52</v>
      </c>
      <c r="L77" t="s">
        <v>453</v>
      </c>
      <c r="M77" t="s">
        <v>583</v>
      </c>
      <c r="N77">
        <v>1</v>
      </c>
      <c r="O77" t="b">
        <v>0</v>
      </c>
      <c r="P77" t="s">
        <v>26</v>
      </c>
      <c r="Q77" t="s">
        <v>27</v>
      </c>
      <c r="T77" t="s">
        <v>28</v>
      </c>
      <c r="U77" s="4">
        <f t="shared" si="2"/>
        <v>46170</v>
      </c>
    </row>
    <row r="78" spans="1:21" x14ac:dyDescent="0.25">
      <c r="A78" t="s">
        <v>104</v>
      </c>
      <c r="B78" s="1">
        <v>46170</v>
      </c>
      <c r="C78" s="2">
        <v>0.89444444444444449</v>
      </c>
      <c r="D78" t="s">
        <v>348</v>
      </c>
      <c r="E78">
        <v>29762</v>
      </c>
      <c r="F78" t="s">
        <v>171</v>
      </c>
      <c r="G78" t="s">
        <v>37</v>
      </c>
      <c r="H78">
        <v>2</v>
      </c>
      <c r="I78" t="s">
        <v>24</v>
      </c>
      <c r="J78" t="s">
        <v>584</v>
      </c>
      <c r="K78" t="s">
        <v>527</v>
      </c>
      <c r="L78" t="s">
        <v>454</v>
      </c>
      <c r="M78" t="s">
        <v>583</v>
      </c>
      <c r="N78">
        <v>4</v>
      </c>
      <c r="O78" t="b">
        <v>0</v>
      </c>
      <c r="P78" t="s">
        <v>26</v>
      </c>
      <c r="Q78" t="s">
        <v>27</v>
      </c>
      <c r="T78" t="s">
        <v>28</v>
      </c>
      <c r="U78" s="4">
        <f t="shared" si="2"/>
        <v>46170</v>
      </c>
    </row>
    <row r="79" spans="1:21" x14ac:dyDescent="0.25">
      <c r="A79" t="s">
        <v>104</v>
      </c>
      <c r="B79" s="1">
        <v>46170</v>
      </c>
      <c r="C79" s="2">
        <v>0.89444444444444449</v>
      </c>
      <c r="D79" t="s">
        <v>349</v>
      </c>
      <c r="E79">
        <v>29765</v>
      </c>
      <c r="F79" t="s">
        <v>172</v>
      </c>
      <c r="G79" t="s">
        <v>37</v>
      </c>
      <c r="H79">
        <v>2</v>
      </c>
      <c r="I79" t="s">
        <v>24</v>
      </c>
      <c r="J79" t="s">
        <v>584</v>
      </c>
      <c r="K79" t="s">
        <v>526</v>
      </c>
      <c r="L79" t="s">
        <v>455</v>
      </c>
      <c r="M79" t="s">
        <v>583</v>
      </c>
      <c r="N79">
        <v>4</v>
      </c>
      <c r="O79" t="b">
        <v>0</v>
      </c>
      <c r="P79" t="s">
        <v>26</v>
      </c>
      <c r="Q79" t="s">
        <v>27</v>
      </c>
      <c r="T79" t="s">
        <v>28</v>
      </c>
      <c r="U79" s="4">
        <f t="shared" si="2"/>
        <v>46170</v>
      </c>
    </row>
    <row r="80" spans="1:21" x14ac:dyDescent="0.25">
      <c r="A80" t="s">
        <v>104</v>
      </c>
      <c r="B80" s="1">
        <v>46170</v>
      </c>
      <c r="C80" s="2">
        <v>0.90555555555555556</v>
      </c>
      <c r="D80" t="s">
        <v>349</v>
      </c>
      <c r="E80">
        <v>29765</v>
      </c>
      <c r="F80" t="s">
        <v>172</v>
      </c>
      <c r="G80" t="s">
        <v>37</v>
      </c>
      <c r="H80">
        <v>3</v>
      </c>
      <c r="I80" t="s">
        <v>24</v>
      </c>
      <c r="J80" t="s">
        <v>585</v>
      </c>
      <c r="K80" t="s">
        <v>526</v>
      </c>
      <c r="L80" t="s">
        <v>455</v>
      </c>
      <c r="M80" t="s">
        <v>583</v>
      </c>
      <c r="N80">
        <v>4</v>
      </c>
      <c r="O80" t="b">
        <v>0</v>
      </c>
      <c r="P80" t="s">
        <v>26</v>
      </c>
      <c r="Q80" t="s">
        <v>27</v>
      </c>
      <c r="T80" t="s">
        <v>28</v>
      </c>
      <c r="U80" s="4">
        <f t="shared" si="2"/>
        <v>46170</v>
      </c>
    </row>
    <row r="81" spans="1:21" x14ac:dyDescent="0.25">
      <c r="A81" t="s">
        <v>21</v>
      </c>
      <c r="B81" s="1">
        <v>46170</v>
      </c>
      <c r="C81" s="2">
        <v>0.87777777777777777</v>
      </c>
      <c r="D81" t="s">
        <v>299</v>
      </c>
      <c r="E81">
        <v>30244</v>
      </c>
      <c r="F81" t="s">
        <v>70</v>
      </c>
      <c r="G81" t="s">
        <v>23</v>
      </c>
      <c r="H81">
        <v>3</v>
      </c>
      <c r="I81" t="s">
        <v>24</v>
      </c>
      <c r="J81" t="s">
        <v>241</v>
      </c>
      <c r="K81" t="s">
        <v>52</v>
      </c>
      <c r="L81" t="s">
        <v>453</v>
      </c>
      <c r="M81" t="s">
        <v>583</v>
      </c>
      <c r="N81">
        <v>1</v>
      </c>
      <c r="O81" t="b">
        <v>0</v>
      </c>
      <c r="P81" t="s">
        <v>26</v>
      </c>
      <c r="Q81" t="s">
        <v>27</v>
      </c>
      <c r="T81" t="s">
        <v>28</v>
      </c>
      <c r="U81" s="4">
        <f t="shared" si="2"/>
        <v>46170</v>
      </c>
    </row>
    <row r="82" spans="1:21" x14ac:dyDescent="0.25">
      <c r="A82" t="s">
        <v>157</v>
      </c>
      <c r="B82" s="1">
        <v>46170</v>
      </c>
      <c r="C82" s="2">
        <v>0.87777777777777777</v>
      </c>
      <c r="D82" t="s">
        <v>305</v>
      </c>
      <c r="E82">
        <v>30242</v>
      </c>
      <c r="F82" t="s">
        <v>85</v>
      </c>
      <c r="G82" t="s">
        <v>23</v>
      </c>
      <c r="H82">
        <v>3</v>
      </c>
      <c r="I82" t="s">
        <v>74</v>
      </c>
      <c r="J82" t="s">
        <v>241</v>
      </c>
      <c r="K82" t="s">
        <v>52</v>
      </c>
      <c r="L82" t="s">
        <v>456</v>
      </c>
      <c r="M82" t="s">
        <v>583</v>
      </c>
      <c r="N82">
        <v>1</v>
      </c>
      <c r="O82" t="b">
        <v>0</v>
      </c>
      <c r="P82" t="s">
        <v>26</v>
      </c>
      <c r="Q82" t="s">
        <v>27</v>
      </c>
      <c r="T82" t="s">
        <v>28</v>
      </c>
      <c r="U82" s="4">
        <f t="shared" si="2"/>
        <v>46170</v>
      </c>
    </row>
    <row r="83" spans="1:21" x14ac:dyDescent="0.25">
      <c r="A83" t="s">
        <v>77</v>
      </c>
      <c r="B83" s="1">
        <v>46170</v>
      </c>
      <c r="C83" s="2">
        <v>0.81527777777777777</v>
      </c>
      <c r="D83" t="s">
        <v>332</v>
      </c>
      <c r="E83">
        <v>30060</v>
      </c>
      <c r="F83" t="s">
        <v>142</v>
      </c>
      <c r="G83" t="s">
        <v>37</v>
      </c>
      <c r="H83">
        <v>3</v>
      </c>
      <c r="I83" t="s">
        <v>51</v>
      </c>
      <c r="J83" t="s">
        <v>241</v>
      </c>
      <c r="K83" t="s">
        <v>260</v>
      </c>
      <c r="L83" t="s">
        <v>457</v>
      </c>
      <c r="M83" t="s">
        <v>583</v>
      </c>
      <c r="N83">
        <v>4</v>
      </c>
      <c r="O83" t="b">
        <v>0</v>
      </c>
      <c r="P83" t="s">
        <v>26</v>
      </c>
      <c r="Q83" t="s">
        <v>53</v>
      </c>
      <c r="R83" t="s">
        <v>88</v>
      </c>
      <c r="T83" t="s">
        <v>28</v>
      </c>
      <c r="U83" s="4">
        <f t="shared" si="2"/>
        <v>46170</v>
      </c>
    </row>
    <row r="84" spans="1:21" x14ac:dyDescent="0.25">
      <c r="A84" t="s">
        <v>77</v>
      </c>
      <c r="B84" s="1">
        <v>46170</v>
      </c>
      <c r="C84" s="2">
        <v>0.84513888888888888</v>
      </c>
      <c r="D84" t="s">
        <v>350</v>
      </c>
      <c r="E84">
        <v>30626</v>
      </c>
      <c r="F84" t="s">
        <v>175</v>
      </c>
      <c r="G84" t="s">
        <v>40</v>
      </c>
      <c r="H84">
        <v>3</v>
      </c>
      <c r="I84" t="s">
        <v>51</v>
      </c>
      <c r="J84" t="s">
        <v>241</v>
      </c>
      <c r="K84" t="s">
        <v>246</v>
      </c>
      <c r="L84" t="s">
        <v>413</v>
      </c>
      <c r="M84" t="s">
        <v>405</v>
      </c>
      <c r="N84">
        <v>2</v>
      </c>
      <c r="O84" t="b">
        <v>0</v>
      </c>
      <c r="P84" t="s">
        <v>26</v>
      </c>
      <c r="Q84" t="s">
        <v>41</v>
      </c>
      <c r="R84" t="s">
        <v>49</v>
      </c>
      <c r="T84" t="s">
        <v>28</v>
      </c>
      <c r="U84" s="4">
        <f t="shared" si="2"/>
        <v>46170</v>
      </c>
    </row>
    <row r="85" spans="1:21" x14ac:dyDescent="0.25">
      <c r="A85" t="s">
        <v>77</v>
      </c>
      <c r="B85" s="1">
        <v>46170</v>
      </c>
      <c r="C85" s="2">
        <v>0.90555555555555556</v>
      </c>
      <c r="D85" t="s">
        <v>351</v>
      </c>
      <c r="E85">
        <v>29753</v>
      </c>
      <c r="F85" t="s">
        <v>176</v>
      </c>
      <c r="G85" t="s">
        <v>23</v>
      </c>
      <c r="H85">
        <v>1</v>
      </c>
      <c r="I85" t="s">
        <v>51</v>
      </c>
      <c r="J85" t="s">
        <v>585</v>
      </c>
      <c r="K85" t="s">
        <v>173</v>
      </c>
      <c r="L85" t="s">
        <v>458</v>
      </c>
      <c r="M85" t="s">
        <v>583</v>
      </c>
      <c r="N85">
        <v>1</v>
      </c>
      <c r="O85" t="b">
        <v>0</v>
      </c>
      <c r="P85" t="s">
        <v>26</v>
      </c>
      <c r="Q85" t="s">
        <v>27</v>
      </c>
      <c r="T85" t="s">
        <v>28</v>
      </c>
      <c r="U85" s="4">
        <f t="shared" si="2"/>
        <v>46170</v>
      </c>
    </row>
    <row r="86" spans="1:21" x14ac:dyDescent="0.25">
      <c r="A86" t="s">
        <v>77</v>
      </c>
      <c r="B86" s="1">
        <v>46170</v>
      </c>
      <c r="C86" s="2">
        <v>0.90625</v>
      </c>
      <c r="D86" t="s">
        <v>352</v>
      </c>
      <c r="E86">
        <v>32386</v>
      </c>
      <c r="F86" t="s">
        <v>177</v>
      </c>
      <c r="G86" t="s">
        <v>23</v>
      </c>
      <c r="H86">
        <v>3</v>
      </c>
      <c r="I86" t="s">
        <v>51</v>
      </c>
      <c r="J86" t="s">
        <v>585</v>
      </c>
      <c r="K86" t="s">
        <v>173</v>
      </c>
      <c r="M86" t="s">
        <v>583</v>
      </c>
      <c r="N86">
        <v>1</v>
      </c>
      <c r="O86" t="b">
        <v>0</v>
      </c>
      <c r="P86" t="s">
        <v>26</v>
      </c>
      <c r="Q86" t="s">
        <v>162</v>
      </c>
      <c r="T86" t="s">
        <v>28</v>
      </c>
      <c r="U86" s="4">
        <f t="shared" si="2"/>
        <v>46170</v>
      </c>
    </row>
    <row r="87" spans="1:21" x14ac:dyDescent="0.25">
      <c r="A87" t="s">
        <v>46</v>
      </c>
      <c r="B87" s="1">
        <v>46170</v>
      </c>
      <c r="C87" s="2">
        <v>0.87986111111111109</v>
      </c>
      <c r="D87" t="s">
        <v>353</v>
      </c>
      <c r="E87">
        <v>30108</v>
      </c>
      <c r="F87" t="s">
        <v>178</v>
      </c>
      <c r="G87" t="s">
        <v>23</v>
      </c>
      <c r="H87">
        <v>3</v>
      </c>
      <c r="I87" t="s">
        <v>48</v>
      </c>
      <c r="J87" t="s">
        <v>241</v>
      </c>
      <c r="K87" t="s">
        <v>525</v>
      </c>
      <c r="L87" t="s">
        <v>459</v>
      </c>
      <c r="M87" t="s">
        <v>583</v>
      </c>
      <c r="N87">
        <v>1</v>
      </c>
      <c r="O87" t="b">
        <v>0</v>
      </c>
      <c r="P87" t="s">
        <v>26</v>
      </c>
      <c r="Q87" t="s">
        <v>179</v>
      </c>
      <c r="R87" t="s">
        <v>180</v>
      </c>
      <c r="T87" t="s">
        <v>28</v>
      </c>
      <c r="U87" s="4">
        <f t="shared" si="2"/>
        <v>46170</v>
      </c>
    </row>
    <row r="88" spans="1:21" x14ac:dyDescent="0.25">
      <c r="A88" t="s">
        <v>46</v>
      </c>
      <c r="B88" s="1">
        <v>46170</v>
      </c>
      <c r="C88" s="2">
        <v>0.90555555555555556</v>
      </c>
      <c r="D88" t="s">
        <v>351</v>
      </c>
      <c r="E88">
        <v>29753</v>
      </c>
      <c r="F88" t="s">
        <v>176</v>
      </c>
      <c r="G88" t="s">
        <v>40</v>
      </c>
      <c r="H88">
        <v>0</v>
      </c>
      <c r="I88" t="s">
        <v>48</v>
      </c>
      <c r="J88" t="s">
        <v>585</v>
      </c>
      <c r="K88" t="s">
        <v>173</v>
      </c>
      <c r="L88" t="s">
        <v>460</v>
      </c>
      <c r="M88" t="s">
        <v>583</v>
      </c>
      <c r="N88">
        <v>2</v>
      </c>
      <c r="O88" t="b">
        <v>0</v>
      </c>
      <c r="P88" t="s">
        <v>26</v>
      </c>
      <c r="Q88" t="s">
        <v>27</v>
      </c>
      <c r="T88" t="s">
        <v>28</v>
      </c>
      <c r="U88" s="4">
        <f t="shared" si="2"/>
        <v>46170</v>
      </c>
    </row>
    <row r="89" spans="1:21" x14ac:dyDescent="0.25">
      <c r="A89" t="s">
        <v>153</v>
      </c>
      <c r="B89" s="1">
        <v>46170</v>
      </c>
      <c r="C89" s="2">
        <v>0.89444444444444449</v>
      </c>
      <c r="D89" t="s">
        <v>354</v>
      </c>
      <c r="E89">
        <v>28799</v>
      </c>
      <c r="F89" t="s">
        <v>181</v>
      </c>
      <c r="G89" t="s">
        <v>31</v>
      </c>
      <c r="H89">
        <v>2</v>
      </c>
      <c r="I89" t="s">
        <v>67</v>
      </c>
      <c r="J89" t="s">
        <v>584</v>
      </c>
      <c r="K89" t="s">
        <v>527</v>
      </c>
      <c r="L89" t="s">
        <v>461</v>
      </c>
      <c r="M89" t="s">
        <v>583</v>
      </c>
      <c r="N89">
        <v>3</v>
      </c>
      <c r="O89" t="b">
        <v>0</v>
      </c>
      <c r="P89" t="s">
        <v>26</v>
      </c>
      <c r="Q89" t="s">
        <v>112</v>
      </c>
      <c r="R89" t="s">
        <v>54</v>
      </c>
      <c r="T89" t="s">
        <v>28</v>
      </c>
      <c r="U89" s="4">
        <f t="shared" si="2"/>
        <v>46170</v>
      </c>
    </row>
    <row r="90" spans="1:21" x14ac:dyDescent="0.25">
      <c r="A90" t="s">
        <v>182</v>
      </c>
      <c r="B90" s="1">
        <v>46170</v>
      </c>
      <c r="C90" s="2">
        <v>0.89444444444444449</v>
      </c>
      <c r="D90" t="s">
        <v>355</v>
      </c>
      <c r="E90">
        <v>29764</v>
      </c>
      <c r="F90" t="s">
        <v>183</v>
      </c>
      <c r="G90" t="s">
        <v>23</v>
      </c>
      <c r="H90">
        <v>2</v>
      </c>
      <c r="I90" t="s">
        <v>57</v>
      </c>
      <c r="J90" t="s">
        <v>584</v>
      </c>
      <c r="K90" t="s">
        <v>527</v>
      </c>
      <c r="L90" t="s">
        <v>462</v>
      </c>
      <c r="M90" t="s">
        <v>583</v>
      </c>
      <c r="N90">
        <v>1</v>
      </c>
      <c r="O90" t="b">
        <v>0</v>
      </c>
      <c r="P90" t="s">
        <v>26</v>
      </c>
      <c r="Q90" t="s">
        <v>27</v>
      </c>
      <c r="T90" t="s">
        <v>28</v>
      </c>
      <c r="U90" s="4">
        <f t="shared" si="2"/>
        <v>46170</v>
      </c>
    </row>
    <row r="91" spans="1:21" x14ac:dyDescent="0.25">
      <c r="A91" t="s">
        <v>182</v>
      </c>
      <c r="B91" s="1">
        <v>46170</v>
      </c>
      <c r="C91" s="2">
        <v>0.90625</v>
      </c>
      <c r="D91" t="s">
        <v>356</v>
      </c>
      <c r="E91">
        <v>28774</v>
      </c>
      <c r="F91" t="s">
        <v>184</v>
      </c>
      <c r="G91" t="s">
        <v>37</v>
      </c>
      <c r="H91">
        <v>2</v>
      </c>
      <c r="I91" t="s">
        <v>57</v>
      </c>
      <c r="J91" t="s">
        <v>585</v>
      </c>
      <c r="K91" t="s">
        <v>173</v>
      </c>
      <c r="L91" t="s">
        <v>463</v>
      </c>
      <c r="M91" t="s">
        <v>516</v>
      </c>
      <c r="N91">
        <v>4</v>
      </c>
      <c r="O91" t="b">
        <v>0</v>
      </c>
      <c r="P91" t="s">
        <v>26</v>
      </c>
      <c r="Q91" t="s">
        <v>185</v>
      </c>
      <c r="R91" t="s">
        <v>45</v>
      </c>
      <c r="T91" t="s">
        <v>28</v>
      </c>
      <c r="U91" s="4">
        <f t="shared" si="2"/>
        <v>46170</v>
      </c>
    </row>
    <row r="92" spans="1:21" x14ac:dyDescent="0.25">
      <c r="A92" t="s">
        <v>83</v>
      </c>
      <c r="B92" s="1">
        <v>46170</v>
      </c>
      <c r="C92" s="2">
        <v>0.80208333333333337</v>
      </c>
      <c r="D92" t="s">
        <v>357</v>
      </c>
      <c r="E92">
        <v>30629</v>
      </c>
      <c r="F92" t="s">
        <v>186</v>
      </c>
      <c r="G92" t="s">
        <v>160</v>
      </c>
      <c r="H92">
        <v>0</v>
      </c>
      <c r="I92" t="s">
        <v>32</v>
      </c>
      <c r="J92" t="s">
        <v>241</v>
      </c>
      <c r="K92" t="s">
        <v>242</v>
      </c>
      <c r="L92" t="s">
        <v>413</v>
      </c>
      <c r="M92" t="s">
        <v>514</v>
      </c>
      <c r="N92" t="s">
        <v>63</v>
      </c>
      <c r="O92" t="b">
        <v>0</v>
      </c>
      <c r="P92" t="s">
        <v>26</v>
      </c>
      <c r="Q92" t="s">
        <v>41</v>
      </c>
      <c r="R92" t="s">
        <v>49</v>
      </c>
      <c r="T92" t="s">
        <v>28</v>
      </c>
      <c r="U92" s="4">
        <f t="shared" si="2"/>
        <v>46170</v>
      </c>
    </row>
    <row r="93" spans="1:21" x14ac:dyDescent="0.25">
      <c r="A93" t="s">
        <v>28</v>
      </c>
      <c r="B93" s="1">
        <v>46170</v>
      </c>
      <c r="C93" s="2">
        <v>0.84583333333333333</v>
      </c>
      <c r="D93" t="s">
        <v>323</v>
      </c>
      <c r="E93">
        <v>30246</v>
      </c>
      <c r="F93" t="s">
        <v>129</v>
      </c>
      <c r="G93" t="s">
        <v>23</v>
      </c>
      <c r="H93">
        <v>3</v>
      </c>
      <c r="I93" t="s">
        <v>51</v>
      </c>
      <c r="J93" t="s">
        <v>241</v>
      </c>
      <c r="K93" t="s">
        <v>246</v>
      </c>
      <c r="L93" t="s">
        <v>464</v>
      </c>
      <c r="M93" t="s">
        <v>583</v>
      </c>
      <c r="N93">
        <v>1</v>
      </c>
      <c r="O93" t="b">
        <v>0</v>
      </c>
      <c r="P93" t="s">
        <v>26</v>
      </c>
      <c r="Q93" t="s">
        <v>27</v>
      </c>
      <c r="T93" t="s">
        <v>28</v>
      </c>
      <c r="U93" s="4">
        <f t="shared" si="2"/>
        <v>46170</v>
      </c>
    </row>
    <row r="94" spans="1:21" x14ac:dyDescent="0.25">
      <c r="A94" t="s">
        <v>97</v>
      </c>
      <c r="B94" s="1">
        <v>46170</v>
      </c>
      <c r="C94" s="2">
        <v>0.80208333333333337</v>
      </c>
      <c r="D94" t="s">
        <v>359</v>
      </c>
      <c r="E94">
        <v>30050</v>
      </c>
      <c r="F94" t="s">
        <v>189</v>
      </c>
      <c r="G94" t="s">
        <v>40</v>
      </c>
      <c r="H94">
        <v>3</v>
      </c>
      <c r="I94" t="s">
        <v>71</v>
      </c>
      <c r="J94" t="s">
        <v>241</v>
      </c>
      <c r="K94" t="s">
        <v>242</v>
      </c>
      <c r="L94" t="s">
        <v>465</v>
      </c>
      <c r="M94" t="s">
        <v>583</v>
      </c>
      <c r="N94">
        <v>2</v>
      </c>
      <c r="O94" t="b">
        <v>0</v>
      </c>
      <c r="P94" t="s">
        <v>26</v>
      </c>
      <c r="Q94" t="s">
        <v>112</v>
      </c>
      <c r="R94" t="s">
        <v>88</v>
      </c>
      <c r="S94" t="s">
        <v>190</v>
      </c>
      <c r="T94" t="s">
        <v>28</v>
      </c>
      <c r="U94" s="4">
        <f t="shared" si="2"/>
        <v>46170</v>
      </c>
    </row>
    <row r="95" spans="1:21" x14ac:dyDescent="0.25">
      <c r="A95" t="s">
        <v>55</v>
      </c>
      <c r="B95" s="1">
        <v>46170</v>
      </c>
      <c r="C95" s="2">
        <v>0.83680555555555558</v>
      </c>
      <c r="D95" t="s">
        <v>324</v>
      </c>
      <c r="E95">
        <v>30240</v>
      </c>
      <c r="F95" t="s">
        <v>131</v>
      </c>
      <c r="G95" t="s">
        <v>31</v>
      </c>
      <c r="H95">
        <v>2</v>
      </c>
      <c r="I95" t="s">
        <v>57</v>
      </c>
      <c r="J95" t="s">
        <v>241</v>
      </c>
      <c r="K95" t="s">
        <v>270</v>
      </c>
      <c r="L95" t="s">
        <v>466</v>
      </c>
      <c r="M95" t="s">
        <v>583</v>
      </c>
      <c r="N95">
        <v>3</v>
      </c>
      <c r="O95" t="b">
        <v>0</v>
      </c>
      <c r="P95" t="s">
        <v>26</v>
      </c>
      <c r="Q95" t="s">
        <v>27</v>
      </c>
      <c r="T95" t="s">
        <v>28</v>
      </c>
      <c r="U95" s="4">
        <f t="shared" ref="U95:U126" si="3">IF(B95="","",B95)</f>
        <v>46170</v>
      </c>
    </row>
    <row r="96" spans="1:21" x14ac:dyDescent="0.25">
      <c r="A96" t="s">
        <v>55</v>
      </c>
      <c r="B96" s="1">
        <v>46170</v>
      </c>
      <c r="C96" s="2">
        <v>0.87916666666666665</v>
      </c>
      <c r="D96" t="s">
        <v>294</v>
      </c>
      <c r="E96">
        <v>30106</v>
      </c>
      <c r="F96" t="s">
        <v>50</v>
      </c>
      <c r="G96" t="s">
        <v>23</v>
      </c>
      <c r="H96">
        <v>3</v>
      </c>
      <c r="I96" t="s">
        <v>57</v>
      </c>
      <c r="J96" t="s">
        <v>241</v>
      </c>
      <c r="K96" t="s">
        <v>52</v>
      </c>
      <c r="L96" t="s">
        <v>430</v>
      </c>
      <c r="M96" t="s">
        <v>583</v>
      </c>
      <c r="N96">
        <v>1</v>
      </c>
      <c r="O96" t="b">
        <v>0</v>
      </c>
      <c r="P96" t="s">
        <v>26</v>
      </c>
      <c r="Q96" t="s">
        <v>53</v>
      </c>
      <c r="R96" t="s">
        <v>54</v>
      </c>
      <c r="T96" t="s">
        <v>28</v>
      </c>
      <c r="U96" s="4">
        <f t="shared" si="3"/>
        <v>46170</v>
      </c>
    </row>
    <row r="97" spans="1:21" x14ac:dyDescent="0.25">
      <c r="A97" t="s">
        <v>55</v>
      </c>
      <c r="B97" s="1">
        <v>46170</v>
      </c>
      <c r="C97" s="2">
        <v>0.89097222222222228</v>
      </c>
      <c r="D97" t="s">
        <v>360</v>
      </c>
      <c r="E97">
        <v>28830</v>
      </c>
      <c r="F97" t="s">
        <v>191</v>
      </c>
      <c r="G97" t="s">
        <v>23</v>
      </c>
      <c r="H97">
        <v>2</v>
      </c>
      <c r="I97" t="s">
        <v>57</v>
      </c>
      <c r="J97" t="s">
        <v>584</v>
      </c>
      <c r="K97" t="s">
        <v>526</v>
      </c>
      <c r="L97" t="s">
        <v>467</v>
      </c>
      <c r="M97" t="s">
        <v>476</v>
      </c>
      <c r="N97">
        <v>1</v>
      </c>
      <c r="O97" t="b">
        <v>0</v>
      </c>
      <c r="P97" t="s">
        <v>26</v>
      </c>
      <c r="Q97" t="s">
        <v>41</v>
      </c>
      <c r="R97" t="s">
        <v>49</v>
      </c>
      <c r="T97" t="s">
        <v>28</v>
      </c>
      <c r="U97" s="4">
        <f t="shared" si="3"/>
        <v>46170</v>
      </c>
    </row>
    <row r="98" spans="1:21" x14ac:dyDescent="0.25">
      <c r="A98" t="s">
        <v>143</v>
      </c>
      <c r="B98" s="1">
        <v>46170</v>
      </c>
      <c r="C98" s="2">
        <v>0.81527777777777777</v>
      </c>
      <c r="D98" t="s">
        <v>361</v>
      </c>
      <c r="E98">
        <v>30063</v>
      </c>
      <c r="F98" t="s">
        <v>192</v>
      </c>
      <c r="G98" t="s">
        <v>31</v>
      </c>
      <c r="H98">
        <v>3</v>
      </c>
      <c r="I98" t="s">
        <v>32</v>
      </c>
      <c r="J98" t="s">
        <v>241</v>
      </c>
      <c r="K98" t="s">
        <v>260</v>
      </c>
      <c r="M98" t="s">
        <v>583</v>
      </c>
      <c r="N98">
        <v>3</v>
      </c>
      <c r="O98" t="b">
        <v>0</v>
      </c>
      <c r="P98" t="s">
        <v>26</v>
      </c>
      <c r="Q98" t="s">
        <v>193</v>
      </c>
      <c r="R98" t="s">
        <v>92</v>
      </c>
      <c r="T98" t="s">
        <v>28</v>
      </c>
      <c r="U98" s="4">
        <f t="shared" si="3"/>
        <v>46170</v>
      </c>
    </row>
    <row r="99" spans="1:21" x14ac:dyDescent="0.25">
      <c r="A99" t="s">
        <v>143</v>
      </c>
      <c r="B99" s="1">
        <v>46170</v>
      </c>
      <c r="C99" s="2">
        <v>0.83680555555555558</v>
      </c>
      <c r="D99" t="s">
        <v>304</v>
      </c>
      <c r="E99">
        <v>30239</v>
      </c>
      <c r="F99" t="s">
        <v>84</v>
      </c>
      <c r="G99" t="s">
        <v>40</v>
      </c>
      <c r="H99">
        <v>2</v>
      </c>
      <c r="I99" t="s">
        <v>32</v>
      </c>
      <c r="J99" t="s">
        <v>241</v>
      </c>
      <c r="K99" t="s">
        <v>270</v>
      </c>
      <c r="L99" t="s">
        <v>468</v>
      </c>
      <c r="M99" t="s">
        <v>583</v>
      </c>
      <c r="N99">
        <v>2</v>
      </c>
      <c r="O99" t="b">
        <v>0</v>
      </c>
      <c r="P99" t="s">
        <v>26</v>
      </c>
      <c r="Q99" t="s">
        <v>27</v>
      </c>
      <c r="T99" t="s">
        <v>28</v>
      </c>
      <c r="U99" s="4">
        <f t="shared" si="3"/>
        <v>46170</v>
      </c>
    </row>
    <row r="100" spans="1:21" x14ac:dyDescent="0.25">
      <c r="A100" t="s">
        <v>143</v>
      </c>
      <c r="B100" s="1">
        <v>46170</v>
      </c>
      <c r="C100" s="2">
        <v>0.83680555555555558</v>
      </c>
      <c r="D100" t="s">
        <v>301</v>
      </c>
      <c r="E100">
        <v>30097</v>
      </c>
      <c r="F100" t="s">
        <v>75</v>
      </c>
      <c r="G100" t="s">
        <v>31</v>
      </c>
      <c r="H100">
        <v>2</v>
      </c>
      <c r="I100" t="s">
        <v>32</v>
      </c>
      <c r="J100" t="s">
        <v>241</v>
      </c>
      <c r="K100" t="s">
        <v>523</v>
      </c>
      <c r="L100" t="s">
        <v>333</v>
      </c>
      <c r="M100" t="s">
        <v>583</v>
      </c>
      <c r="N100">
        <v>3</v>
      </c>
      <c r="O100" t="b">
        <v>0</v>
      </c>
      <c r="P100" t="s">
        <v>26</v>
      </c>
      <c r="Q100" t="s">
        <v>34</v>
      </c>
      <c r="R100" t="s">
        <v>76</v>
      </c>
      <c r="T100" t="s">
        <v>28</v>
      </c>
      <c r="U100" s="4">
        <f t="shared" si="3"/>
        <v>46170</v>
      </c>
    </row>
    <row r="101" spans="1:21" x14ac:dyDescent="0.25">
      <c r="A101" t="s">
        <v>143</v>
      </c>
      <c r="B101" s="1">
        <v>46170</v>
      </c>
      <c r="C101" s="2">
        <v>0.89444444444444449</v>
      </c>
      <c r="D101" t="s">
        <v>362</v>
      </c>
      <c r="E101">
        <v>29763</v>
      </c>
      <c r="F101" t="s">
        <v>194</v>
      </c>
      <c r="G101" t="s">
        <v>23</v>
      </c>
      <c r="H101">
        <v>2</v>
      </c>
      <c r="I101" t="s">
        <v>32</v>
      </c>
      <c r="J101" t="s">
        <v>584</v>
      </c>
      <c r="K101" t="s">
        <v>527</v>
      </c>
      <c r="L101" t="s">
        <v>333</v>
      </c>
      <c r="M101" t="s">
        <v>583</v>
      </c>
      <c r="N101">
        <v>1</v>
      </c>
      <c r="O101" t="b">
        <v>0</v>
      </c>
      <c r="P101" t="s">
        <v>26</v>
      </c>
      <c r="Q101" t="s">
        <v>27</v>
      </c>
      <c r="T101" t="s">
        <v>28</v>
      </c>
      <c r="U101" s="4">
        <f t="shared" si="3"/>
        <v>46170</v>
      </c>
    </row>
    <row r="102" spans="1:21" x14ac:dyDescent="0.25">
      <c r="A102" t="s">
        <v>143</v>
      </c>
      <c r="B102" s="1">
        <v>46170</v>
      </c>
      <c r="C102" s="2">
        <v>0.89444444444444449</v>
      </c>
      <c r="D102" t="s">
        <v>363</v>
      </c>
      <c r="E102">
        <v>29766</v>
      </c>
      <c r="F102" t="s">
        <v>195</v>
      </c>
      <c r="G102" t="s">
        <v>40</v>
      </c>
      <c r="H102">
        <v>3</v>
      </c>
      <c r="I102" t="s">
        <v>32</v>
      </c>
      <c r="J102" t="s">
        <v>584</v>
      </c>
      <c r="K102" t="s">
        <v>526</v>
      </c>
      <c r="L102" t="s">
        <v>469</v>
      </c>
      <c r="M102" t="s">
        <v>583</v>
      </c>
      <c r="N102">
        <v>2</v>
      </c>
      <c r="O102" t="b">
        <v>0</v>
      </c>
      <c r="P102" t="s">
        <v>26</v>
      </c>
      <c r="Q102" t="s">
        <v>27</v>
      </c>
      <c r="T102" t="s">
        <v>28</v>
      </c>
      <c r="U102" s="4">
        <f t="shared" si="3"/>
        <v>46170</v>
      </c>
    </row>
    <row r="103" spans="1:21" x14ac:dyDescent="0.25">
      <c r="A103" t="s">
        <v>95</v>
      </c>
      <c r="B103" s="1">
        <v>46170</v>
      </c>
      <c r="C103" s="2">
        <v>0.84513888888888888</v>
      </c>
      <c r="D103" t="s">
        <v>331</v>
      </c>
      <c r="E103">
        <v>30247</v>
      </c>
      <c r="F103" t="s">
        <v>140</v>
      </c>
      <c r="G103" t="s">
        <v>23</v>
      </c>
      <c r="H103">
        <v>2</v>
      </c>
      <c r="I103" t="s">
        <v>71</v>
      </c>
      <c r="J103" t="s">
        <v>241</v>
      </c>
      <c r="K103" t="s">
        <v>246</v>
      </c>
      <c r="L103" t="s">
        <v>412</v>
      </c>
      <c r="M103" t="s">
        <v>583</v>
      </c>
      <c r="N103">
        <v>1</v>
      </c>
      <c r="O103" t="b">
        <v>0</v>
      </c>
      <c r="P103" t="s">
        <v>26</v>
      </c>
      <c r="Q103" t="s">
        <v>27</v>
      </c>
      <c r="T103" t="s">
        <v>28</v>
      </c>
      <c r="U103" s="4">
        <f t="shared" si="3"/>
        <v>46170</v>
      </c>
    </row>
    <row r="104" spans="1:21" x14ac:dyDescent="0.25">
      <c r="A104" t="s">
        <v>65</v>
      </c>
      <c r="B104" s="1">
        <v>46170</v>
      </c>
      <c r="C104" s="2">
        <v>0.85833333333333328</v>
      </c>
      <c r="D104" t="s">
        <v>308</v>
      </c>
      <c r="E104">
        <v>30720</v>
      </c>
      <c r="F104" t="s">
        <v>94</v>
      </c>
      <c r="G104" t="s">
        <v>31</v>
      </c>
      <c r="H104">
        <v>4</v>
      </c>
      <c r="I104" t="s">
        <v>67</v>
      </c>
      <c r="J104" t="s">
        <v>241</v>
      </c>
      <c r="K104" t="s">
        <v>249</v>
      </c>
      <c r="M104" t="s">
        <v>583</v>
      </c>
      <c r="N104" t="s">
        <v>196</v>
      </c>
      <c r="O104" t="b">
        <v>0</v>
      </c>
      <c r="P104" t="s">
        <v>26</v>
      </c>
      <c r="Q104" t="s">
        <v>41</v>
      </c>
      <c r="R104" t="s">
        <v>49</v>
      </c>
      <c r="T104" t="s">
        <v>28</v>
      </c>
      <c r="U104" s="4">
        <f t="shared" si="3"/>
        <v>46170</v>
      </c>
    </row>
    <row r="105" spans="1:21" x14ac:dyDescent="0.25">
      <c r="A105" t="s">
        <v>126</v>
      </c>
      <c r="B105" s="1">
        <v>46170</v>
      </c>
      <c r="C105" s="2">
        <v>0.85833333333333328</v>
      </c>
      <c r="D105" t="s">
        <v>306</v>
      </c>
      <c r="E105">
        <v>30081</v>
      </c>
      <c r="F105" t="s">
        <v>87</v>
      </c>
      <c r="G105" t="s">
        <v>23</v>
      </c>
      <c r="H105">
        <v>3</v>
      </c>
      <c r="I105" t="s">
        <v>57</v>
      </c>
      <c r="J105" t="s">
        <v>241</v>
      </c>
      <c r="K105" t="s">
        <v>249</v>
      </c>
      <c r="L105" t="s">
        <v>411</v>
      </c>
      <c r="M105" t="s">
        <v>583</v>
      </c>
      <c r="N105">
        <v>1</v>
      </c>
      <c r="O105" t="b">
        <v>0</v>
      </c>
      <c r="P105" t="s">
        <v>26</v>
      </c>
      <c r="Q105" t="s">
        <v>38</v>
      </c>
      <c r="R105" t="s">
        <v>88</v>
      </c>
      <c r="T105" t="s">
        <v>28</v>
      </c>
      <c r="U105" s="4">
        <f t="shared" si="3"/>
        <v>46170</v>
      </c>
    </row>
    <row r="106" spans="1:21" x14ac:dyDescent="0.25">
      <c r="A106" t="s">
        <v>126</v>
      </c>
      <c r="B106" s="1">
        <v>46170</v>
      </c>
      <c r="C106" s="2">
        <v>0.90555555555555556</v>
      </c>
      <c r="D106" t="s">
        <v>351</v>
      </c>
      <c r="E106">
        <v>29753</v>
      </c>
      <c r="F106" t="s">
        <v>176</v>
      </c>
      <c r="G106" t="s">
        <v>23</v>
      </c>
      <c r="H106">
        <v>0</v>
      </c>
      <c r="I106" t="s">
        <v>57</v>
      </c>
      <c r="J106" t="s">
        <v>585</v>
      </c>
      <c r="K106" t="s">
        <v>173</v>
      </c>
      <c r="L106" t="s">
        <v>395</v>
      </c>
      <c r="M106" t="s">
        <v>583</v>
      </c>
      <c r="N106">
        <v>1</v>
      </c>
      <c r="O106" t="b">
        <v>0</v>
      </c>
      <c r="P106" t="s">
        <v>26</v>
      </c>
      <c r="Q106" t="s">
        <v>27</v>
      </c>
      <c r="T106" t="s">
        <v>28</v>
      </c>
      <c r="U106" s="4">
        <f t="shared" si="3"/>
        <v>46170</v>
      </c>
    </row>
    <row r="107" spans="1:21" x14ac:dyDescent="0.25">
      <c r="A107" t="s">
        <v>141</v>
      </c>
      <c r="B107" s="1">
        <v>46170</v>
      </c>
      <c r="C107" s="2">
        <v>0.80138888888888893</v>
      </c>
      <c r="D107" t="s">
        <v>289</v>
      </c>
      <c r="E107">
        <v>30054</v>
      </c>
      <c r="F107" t="s">
        <v>30</v>
      </c>
      <c r="G107" t="s">
        <v>31</v>
      </c>
      <c r="H107">
        <v>0</v>
      </c>
      <c r="I107" t="s">
        <v>74</v>
      </c>
      <c r="J107" t="s">
        <v>241</v>
      </c>
      <c r="K107" t="s">
        <v>242</v>
      </c>
      <c r="L107" t="s">
        <v>470</v>
      </c>
      <c r="M107" t="s">
        <v>583</v>
      </c>
      <c r="N107">
        <v>3</v>
      </c>
      <c r="O107" t="b">
        <v>0</v>
      </c>
      <c r="P107" t="s">
        <v>26</v>
      </c>
      <c r="Q107" t="s">
        <v>34</v>
      </c>
      <c r="R107" t="s">
        <v>35</v>
      </c>
      <c r="T107" t="s">
        <v>28</v>
      </c>
      <c r="U107" s="4">
        <f t="shared" si="3"/>
        <v>46170</v>
      </c>
    </row>
    <row r="108" spans="1:21" x14ac:dyDescent="0.25">
      <c r="A108" t="s">
        <v>141</v>
      </c>
      <c r="B108" s="1">
        <v>46170</v>
      </c>
      <c r="C108" s="2">
        <v>0.89444444444444449</v>
      </c>
      <c r="D108" t="s">
        <v>363</v>
      </c>
      <c r="E108">
        <v>29766</v>
      </c>
      <c r="F108" t="s">
        <v>195</v>
      </c>
      <c r="G108" t="s">
        <v>23</v>
      </c>
      <c r="H108">
        <v>3</v>
      </c>
      <c r="I108" t="s">
        <v>74</v>
      </c>
      <c r="J108" t="s">
        <v>584</v>
      </c>
      <c r="K108" t="s">
        <v>526</v>
      </c>
      <c r="L108" t="s">
        <v>471</v>
      </c>
      <c r="M108" t="s">
        <v>583</v>
      </c>
      <c r="N108">
        <v>1</v>
      </c>
      <c r="O108" t="b">
        <v>0</v>
      </c>
      <c r="P108" t="s">
        <v>26</v>
      </c>
      <c r="Q108" t="s">
        <v>27</v>
      </c>
      <c r="T108" t="s">
        <v>28</v>
      </c>
      <c r="U108" s="4">
        <f t="shared" si="3"/>
        <v>46170</v>
      </c>
    </row>
    <row r="109" spans="1:21" x14ac:dyDescent="0.25">
      <c r="A109" t="s">
        <v>86</v>
      </c>
      <c r="B109" s="1">
        <v>46170</v>
      </c>
      <c r="C109" s="2">
        <v>0.81527777777777777</v>
      </c>
      <c r="D109" t="s">
        <v>364</v>
      </c>
      <c r="E109">
        <v>30058</v>
      </c>
      <c r="F109" t="s">
        <v>197</v>
      </c>
      <c r="G109" t="s">
        <v>37</v>
      </c>
      <c r="H109">
        <v>0</v>
      </c>
      <c r="I109" t="s">
        <v>57</v>
      </c>
      <c r="J109" t="s">
        <v>241</v>
      </c>
      <c r="K109" t="s">
        <v>260</v>
      </c>
      <c r="L109" t="s">
        <v>421</v>
      </c>
      <c r="M109" t="s">
        <v>583</v>
      </c>
      <c r="N109">
        <v>4</v>
      </c>
      <c r="O109" t="b">
        <v>0</v>
      </c>
      <c r="P109" t="s">
        <v>26</v>
      </c>
      <c r="Q109" t="s">
        <v>179</v>
      </c>
      <c r="R109" t="s">
        <v>180</v>
      </c>
      <c r="T109" t="s">
        <v>28</v>
      </c>
      <c r="U109" s="4">
        <f t="shared" si="3"/>
        <v>46170</v>
      </c>
    </row>
    <row r="110" spans="1:21" x14ac:dyDescent="0.25">
      <c r="A110" t="s">
        <v>86</v>
      </c>
      <c r="B110" s="1">
        <v>46170</v>
      </c>
      <c r="C110" s="2">
        <v>0.83680555555555558</v>
      </c>
      <c r="D110" t="s">
        <v>324</v>
      </c>
      <c r="E110">
        <v>30240</v>
      </c>
      <c r="F110" t="s">
        <v>131</v>
      </c>
      <c r="G110" t="s">
        <v>23</v>
      </c>
      <c r="H110">
        <v>2</v>
      </c>
      <c r="I110" t="s">
        <v>57</v>
      </c>
      <c r="J110" t="s">
        <v>241</v>
      </c>
      <c r="K110" t="s">
        <v>270</v>
      </c>
      <c r="L110" t="s">
        <v>472</v>
      </c>
      <c r="M110" t="s">
        <v>583</v>
      </c>
      <c r="N110">
        <v>1</v>
      </c>
      <c r="O110" t="b">
        <v>0</v>
      </c>
      <c r="P110" t="s">
        <v>26</v>
      </c>
      <c r="Q110" t="s">
        <v>27</v>
      </c>
      <c r="T110" t="s">
        <v>28</v>
      </c>
      <c r="U110" s="4">
        <f t="shared" si="3"/>
        <v>46170</v>
      </c>
    </row>
    <row r="111" spans="1:21" x14ac:dyDescent="0.25">
      <c r="A111" t="s">
        <v>130</v>
      </c>
      <c r="B111" s="1">
        <v>46170</v>
      </c>
      <c r="C111" s="2">
        <v>0.90625</v>
      </c>
      <c r="D111" t="s">
        <v>365</v>
      </c>
      <c r="E111">
        <v>28789</v>
      </c>
      <c r="F111" t="s">
        <v>198</v>
      </c>
      <c r="G111" t="s">
        <v>23</v>
      </c>
      <c r="H111">
        <v>3</v>
      </c>
      <c r="I111" t="s">
        <v>48</v>
      </c>
      <c r="J111" t="s">
        <v>585</v>
      </c>
      <c r="K111" t="s">
        <v>173</v>
      </c>
      <c r="L111" t="s">
        <v>473</v>
      </c>
      <c r="M111" t="s">
        <v>413</v>
      </c>
      <c r="N111">
        <v>1</v>
      </c>
      <c r="O111" t="b">
        <v>0</v>
      </c>
      <c r="P111" t="s">
        <v>26</v>
      </c>
      <c r="Q111" t="s">
        <v>41</v>
      </c>
      <c r="R111" t="s">
        <v>49</v>
      </c>
      <c r="T111" t="s">
        <v>28</v>
      </c>
      <c r="U111" s="4">
        <f t="shared" si="3"/>
        <v>46170</v>
      </c>
    </row>
    <row r="112" spans="1:21" x14ac:dyDescent="0.25">
      <c r="A112" t="s">
        <v>126</v>
      </c>
      <c r="B112" s="1">
        <v>46174</v>
      </c>
      <c r="C112" s="2">
        <v>0.84930555555555554</v>
      </c>
      <c r="D112" t="s">
        <v>366</v>
      </c>
      <c r="E112">
        <v>29993</v>
      </c>
      <c r="F112" t="s">
        <v>199</v>
      </c>
      <c r="G112" t="s">
        <v>23</v>
      </c>
      <c r="H112">
        <v>4</v>
      </c>
      <c r="I112" t="s">
        <v>57</v>
      </c>
      <c r="J112" t="s">
        <v>100</v>
      </c>
      <c r="K112" t="s">
        <v>101</v>
      </c>
      <c r="M112" t="s">
        <v>583</v>
      </c>
      <c r="N112">
        <v>1</v>
      </c>
      <c r="O112" t="b">
        <v>0</v>
      </c>
      <c r="P112" t="s">
        <v>26</v>
      </c>
      <c r="Q112" t="s">
        <v>201</v>
      </c>
      <c r="R112" t="s">
        <v>45</v>
      </c>
      <c r="T112" t="s">
        <v>28</v>
      </c>
      <c r="U112" s="4">
        <f t="shared" si="3"/>
        <v>46174</v>
      </c>
    </row>
    <row r="113" spans="1:21" x14ac:dyDescent="0.25">
      <c r="A113" t="s">
        <v>202</v>
      </c>
      <c r="B113" s="1">
        <v>46174</v>
      </c>
      <c r="C113" s="2">
        <v>0.81805555555555554</v>
      </c>
      <c r="D113" t="s">
        <v>335</v>
      </c>
      <c r="E113">
        <v>29984</v>
      </c>
      <c r="F113" t="s">
        <v>148</v>
      </c>
      <c r="G113" t="s">
        <v>40</v>
      </c>
      <c r="H113">
        <v>4</v>
      </c>
      <c r="I113" t="s">
        <v>74</v>
      </c>
      <c r="J113" t="s">
        <v>100</v>
      </c>
      <c r="K113" t="s">
        <v>286</v>
      </c>
      <c r="L113" t="s">
        <v>474</v>
      </c>
      <c r="M113" t="s">
        <v>583</v>
      </c>
      <c r="N113">
        <v>2</v>
      </c>
      <c r="O113" t="b">
        <v>0</v>
      </c>
      <c r="P113" t="s">
        <v>26</v>
      </c>
      <c r="Q113" t="s">
        <v>53</v>
      </c>
      <c r="R113" t="s">
        <v>54</v>
      </c>
      <c r="T113" t="s">
        <v>28</v>
      </c>
      <c r="U113" s="4">
        <f t="shared" si="3"/>
        <v>46174</v>
      </c>
    </row>
    <row r="114" spans="1:21" x14ac:dyDescent="0.25">
      <c r="A114" t="s">
        <v>153</v>
      </c>
      <c r="B114" s="1">
        <v>46174</v>
      </c>
      <c r="C114" s="2">
        <v>0.85</v>
      </c>
      <c r="D114" t="s">
        <v>367</v>
      </c>
      <c r="E114">
        <v>29987</v>
      </c>
      <c r="F114" t="s">
        <v>204</v>
      </c>
      <c r="G114" t="s">
        <v>23</v>
      </c>
      <c r="H114">
        <v>4</v>
      </c>
      <c r="I114" t="s">
        <v>67</v>
      </c>
      <c r="J114" t="s">
        <v>100</v>
      </c>
      <c r="K114" t="s">
        <v>101</v>
      </c>
      <c r="L114" t="s">
        <v>434</v>
      </c>
      <c r="M114" t="s">
        <v>583</v>
      </c>
      <c r="N114">
        <v>1</v>
      </c>
      <c r="O114" t="b">
        <v>0</v>
      </c>
      <c r="P114" t="s">
        <v>26</v>
      </c>
      <c r="Q114" t="s">
        <v>112</v>
      </c>
      <c r="R114" t="s">
        <v>102</v>
      </c>
      <c r="T114" t="s">
        <v>28</v>
      </c>
      <c r="U114" s="4">
        <f t="shared" si="3"/>
        <v>46174</v>
      </c>
    </row>
    <row r="115" spans="1:21" x14ac:dyDescent="0.25">
      <c r="A115" t="s">
        <v>143</v>
      </c>
      <c r="B115" s="1">
        <v>46174</v>
      </c>
      <c r="C115" s="2">
        <v>0.80972222222222223</v>
      </c>
      <c r="D115" t="s">
        <v>343</v>
      </c>
      <c r="E115">
        <v>30447</v>
      </c>
      <c r="F115" t="s">
        <v>159</v>
      </c>
      <c r="G115" t="s">
        <v>37</v>
      </c>
      <c r="H115">
        <v>3</v>
      </c>
      <c r="I115" t="s">
        <v>32</v>
      </c>
      <c r="J115" t="s">
        <v>100</v>
      </c>
      <c r="K115" t="s">
        <v>205</v>
      </c>
      <c r="L115" t="s">
        <v>398</v>
      </c>
      <c r="M115" t="s">
        <v>496</v>
      </c>
      <c r="N115">
        <v>4</v>
      </c>
      <c r="O115" t="b">
        <v>0</v>
      </c>
      <c r="P115" t="s">
        <v>26</v>
      </c>
      <c r="Q115" t="s">
        <v>41</v>
      </c>
      <c r="R115" t="s">
        <v>49</v>
      </c>
      <c r="T115" t="s">
        <v>28</v>
      </c>
      <c r="U115" s="4">
        <f t="shared" si="3"/>
        <v>46174</v>
      </c>
    </row>
    <row r="116" spans="1:21" x14ac:dyDescent="0.25">
      <c r="A116" t="s">
        <v>28</v>
      </c>
      <c r="B116" s="1">
        <v>46174</v>
      </c>
      <c r="C116" s="2">
        <v>0.84861111111111109</v>
      </c>
      <c r="D116" t="s">
        <v>340</v>
      </c>
      <c r="E116">
        <v>30237</v>
      </c>
      <c r="F116" t="s">
        <v>155</v>
      </c>
      <c r="G116" t="s">
        <v>23</v>
      </c>
      <c r="H116">
        <v>4</v>
      </c>
      <c r="I116" t="s">
        <v>51</v>
      </c>
      <c r="J116" t="s">
        <v>100</v>
      </c>
      <c r="K116" t="s">
        <v>101</v>
      </c>
      <c r="L116" t="s">
        <v>475</v>
      </c>
      <c r="M116" t="s">
        <v>583</v>
      </c>
      <c r="N116">
        <v>1</v>
      </c>
      <c r="O116" t="b">
        <v>0</v>
      </c>
      <c r="P116" t="s">
        <v>26</v>
      </c>
      <c r="Q116" t="s">
        <v>27</v>
      </c>
      <c r="T116" t="s">
        <v>28</v>
      </c>
      <c r="U116" s="4">
        <f t="shared" si="3"/>
        <v>46174</v>
      </c>
    </row>
    <row r="117" spans="1:21" x14ac:dyDescent="0.25">
      <c r="A117" t="s">
        <v>93</v>
      </c>
      <c r="B117" s="1">
        <v>46174</v>
      </c>
      <c r="C117" s="2">
        <v>0.84930555555555554</v>
      </c>
      <c r="D117" t="s">
        <v>336</v>
      </c>
      <c r="E117">
        <v>30238</v>
      </c>
      <c r="F117" t="s">
        <v>150</v>
      </c>
      <c r="G117" t="s">
        <v>23</v>
      </c>
      <c r="H117">
        <v>3</v>
      </c>
      <c r="I117" t="s">
        <v>67</v>
      </c>
      <c r="J117" t="s">
        <v>100</v>
      </c>
      <c r="K117" t="s">
        <v>101</v>
      </c>
      <c r="L117" t="s">
        <v>445</v>
      </c>
      <c r="M117" t="s">
        <v>583</v>
      </c>
      <c r="N117">
        <v>1</v>
      </c>
      <c r="O117" t="b">
        <v>0</v>
      </c>
      <c r="P117" t="s">
        <v>26</v>
      </c>
      <c r="Q117" t="s">
        <v>27</v>
      </c>
      <c r="S117" t="s">
        <v>206</v>
      </c>
      <c r="T117" t="s">
        <v>28</v>
      </c>
      <c r="U117" s="4">
        <f t="shared" si="3"/>
        <v>46174</v>
      </c>
    </row>
    <row r="118" spans="1:21" x14ac:dyDescent="0.25">
      <c r="A118" t="s">
        <v>21</v>
      </c>
      <c r="B118" s="1">
        <v>46174</v>
      </c>
      <c r="C118" s="2">
        <v>0.81805555555555554</v>
      </c>
      <c r="D118" t="s">
        <v>320</v>
      </c>
      <c r="E118">
        <v>30250</v>
      </c>
      <c r="F118" t="s">
        <v>123</v>
      </c>
      <c r="G118" t="s">
        <v>23</v>
      </c>
      <c r="H118">
        <v>4</v>
      </c>
      <c r="I118" t="s">
        <v>24</v>
      </c>
      <c r="J118" t="s">
        <v>100</v>
      </c>
      <c r="K118" t="s">
        <v>286</v>
      </c>
      <c r="L118" t="s">
        <v>454</v>
      </c>
      <c r="M118" t="s">
        <v>583</v>
      </c>
      <c r="N118">
        <v>1</v>
      </c>
      <c r="O118" t="b">
        <v>0</v>
      </c>
      <c r="P118" t="s">
        <v>26</v>
      </c>
      <c r="Q118" t="s">
        <v>27</v>
      </c>
      <c r="S118" t="s">
        <v>207</v>
      </c>
      <c r="T118" t="s">
        <v>28</v>
      </c>
      <c r="U118" s="4">
        <f t="shared" si="3"/>
        <v>46174</v>
      </c>
    </row>
    <row r="119" spans="1:21" x14ac:dyDescent="0.25">
      <c r="A119" t="s">
        <v>65</v>
      </c>
      <c r="B119" s="1">
        <v>46174</v>
      </c>
      <c r="C119" s="2">
        <v>0.80694444444444446</v>
      </c>
      <c r="D119" t="s">
        <v>368</v>
      </c>
      <c r="E119">
        <v>29922</v>
      </c>
      <c r="F119" t="s">
        <v>208</v>
      </c>
      <c r="G119" t="s">
        <v>23</v>
      </c>
      <c r="H119">
        <v>3</v>
      </c>
      <c r="I119" t="s">
        <v>67</v>
      </c>
      <c r="J119" t="s">
        <v>100</v>
      </c>
      <c r="K119" t="s">
        <v>205</v>
      </c>
      <c r="L119" t="s">
        <v>407</v>
      </c>
      <c r="M119" t="s">
        <v>448</v>
      </c>
      <c r="N119">
        <v>1</v>
      </c>
      <c r="O119" t="b">
        <v>0</v>
      </c>
      <c r="P119" t="s">
        <v>26</v>
      </c>
      <c r="Q119" t="s">
        <v>41</v>
      </c>
      <c r="R119" t="s">
        <v>42</v>
      </c>
      <c r="T119" t="s">
        <v>28</v>
      </c>
      <c r="U119" s="4">
        <f t="shared" si="3"/>
        <v>46174</v>
      </c>
    </row>
    <row r="120" spans="1:21" x14ac:dyDescent="0.25">
      <c r="A120" t="s">
        <v>65</v>
      </c>
      <c r="B120" s="1">
        <v>46174</v>
      </c>
      <c r="C120" s="2">
        <v>0.81874999999999998</v>
      </c>
      <c r="D120" t="s">
        <v>320</v>
      </c>
      <c r="E120">
        <v>30250</v>
      </c>
      <c r="F120" t="s">
        <v>123</v>
      </c>
      <c r="G120" t="s">
        <v>23</v>
      </c>
      <c r="H120">
        <v>3</v>
      </c>
      <c r="I120" t="s">
        <v>67</v>
      </c>
      <c r="J120" t="s">
        <v>100</v>
      </c>
      <c r="K120" t="s">
        <v>286</v>
      </c>
      <c r="L120" t="s">
        <v>423</v>
      </c>
      <c r="M120" t="s">
        <v>583</v>
      </c>
      <c r="N120">
        <v>1</v>
      </c>
      <c r="O120" t="b">
        <v>0</v>
      </c>
      <c r="P120" t="s">
        <v>26</v>
      </c>
      <c r="Q120" t="s">
        <v>27</v>
      </c>
      <c r="T120" t="s">
        <v>28</v>
      </c>
      <c r="U120" s="4">
        <f t="shared" si="3"/>
        <v>46174</v>
      </c>
    </row>
    <row r="121" spans="1:21" x14ac:dyDescent="0.25">
      <c r="A121" t="s">
        <v>104</v>
      </c>
      <c r="B121" s="1">
        <v>46174</v>
      </c>
      <c r="C121" s="2">
        <v>0.81736111111111109</v>
      </c>
      <c r="D121" t="s">
        <v>369</v>
      </c>
      <c r="E121">
        <v>30448</v>
      </c>
      <c r="F121" t="s">
        <v>209</v>
      </c>
      <c r="G121" t="s">
        <v>160</v>
      </c>
      <c r="H121">
        <v>3</v>
      </c>
      <c r="I121" t="s">
        <v>24</v>
      </c>
      <c r="J121" t="s">
        <v>100</v>
      </c>
      <c r="K121" t="s">
        <v>205</v>
      </c>
      <c r="L121" t="s">
        <v>476</v>
      </c>
      <c r="M121" t="s">
        <v>517</v>
      </c>
      <c r="N121" t="s">
        <v>63</v>
      </c>
      <c r="O121" t="b">
        <v>0</v>
      </c>
      <c r="P121" t="s">
        <v>26</v>
      </c>
      <c r="Q121" t="s">
        <v>41</v>
      </c>
      <c r="R121" t="s">
        <v>49</v>
      </c>
      <c r="T121" t="s">
        <v>28</v>
      </c>
      <c r="U121" s="4">
        <f t="shared" si="3"/>
        <v>46174</v>
      </c>
    </row>
    <row r="122" spans="1:21" x14ac:dyDescent="0.25">
      <c r="A122" t="s">
        <v>141</v>
      </c>
      <c r="B122" s="1">
        <v>46174</v>
      </c>
      <c r="C122" s="2">
        <v>0.81874999999999998</v>
      </c>
      <c r="D122" t="s">
        <v>370</v>
      </c>
      <c r="E122">
        <v>30248</v>
      </c>
      <c r="F122" t="s">
        <v>210</v>
      </c>
      <c r="G122" t="s">
        <v>23</v>
      </c>
      <c r="H122">
        <v>3</v>
      </c>
      <c r="I122" t="s">
        <v>74</v>
      </c>
      <c r="J122" t="s">
        <v>100</v>
      </c>
      <c r="K122" t="s">
        <v>286</v>
      </c>
      <c r="L122" t="s">
        <v>477</v>
      </c>
      <c r="M122" t="s">
        <v>583</v>
      </c>
      <c r="N122">
        <v>1</v>
      </c>
      <c r="O122" t="b">
        <v>0</v>
      </c>
      <c r="P122" t="s">
        <v>26</v>
      </c>
      <c r="Q122" t="s">
        <v>27</v>
      </c>
      <c r="T122" t="s">
        <v>28</v>
      </c>
      <c r="U122" s="4">
        <f t="shared" si="3"/>
        <v>46174</v>
      </c>
    </row>
    <row r="123" spans="1:21" x14ac:dyDescent="0.25">
      <c r="A123" t="s">
        <v>89</v>
      </c>
      <c r="B123" s="1">
        <v>46174</v>
      </c>
      <c r="C123" s="2">
        <v>0.85138888888888886</v>
      </c>
      <c r="D123" t="s">
        <v>344</v>
      </c>
      <c r="E123">
        <v>32405</v>
      </c>
      <c r="F123" t="s">
        <v>161</v>
      </c>
      <c r="G123" t="s">
        <v>23</v>
      </c>
      <c r="H123">
        <v>4</v>
      </c>
      <c r="I123" t="s">
        <v>74</v>
      </c>
      <c r="J123" t="s">
        <v>100</v>
      </c>
      <c r="K123" t="s">
        <v>101</v>
      </c>
      <c r="M123" t="s">
        <v>583</v>
      </c>
      <c r="N123">
        <v>1</v>
      </c>
      <c r="O123" t="b">
        <v>0</v>
      </c>
      <c r="P123" t="s">
        <v>26</v>
      </c>
      <c r="Q123" t="s">
        <v>162</v>
      </c>
      <c r="T123" t="s">
        <v>28</v>
      </c>
      <c r="U123" s="4">
        <f t="shared" si="3"/>
        <v>46174</v>
      </c>
    </row>
    <row r="124" spans="1:21" x14ac:dyDescent="0.25">
      <c r="A124" t="s">
        <v>77</v>
      </c>
      <c r="B124" s="1">
        <v>46174</v>
      </c>
      <c r="C124" s="2">
        <v>0.84930555555555554</v>
      </c>
      <c r="D124" t="s">
        <v>340</v>
      </c>
      <c r="E124">
        <v>30237</v>
      </c>
      <c r="F124" t="s">
        <v>155</v>
      </c>
      <c r="G124" t="s">
        <v>23</v>
      </c>
      <c r="H124">
        <v>3</v>
      </c>
      <c r="I124" t="s">
        <v>51</v>
      </c>
      <c r="J124" t="s">
        <v>100</v>
      </c>
      <c r="K124" t="s">
        <v>101</v>
      </c>
      <c r="L124" t="s">
        <v>458</v>
      </c>
      <c r="M124" t="s">
        <v>583</v>
      </c>
      <c r="N124">
        <v>1</v>
      </c>
      <c r="O124" t="b">
        <v>0</v>
      </c>
      <c r="P124" t="s">
        <v>26</v>
      </c>
      <c r="Q124" t="s">
        <v>27</v>
      </c>
      <c r="T124" t="s">
        <v>28</v>
      </c>
      <c r="U124" s="4">
        <f t="shared" si="3"/>
        <v>46174</v>
      </c>
    </row>
    <row r="125" spans="1:21" x14ac:dyDescent="0.25">
      <c r="A125" t="s">
        <v>130</v>
      </c>
      <c r="B125" s="1">
        <v>46177</v>
      </c>
      <c r="C125" s="2">
        <v>0.80347222222222225</v>
      </c>
      <c r="D125" t="s">
        <v>297</v>
      </c>
      <c r="E125">
        <v>30283</v>
      </c>
      <c r="F125" t="s">
        <v>61</v>
      </c>
      <c r="G125" t="s">
        <v>37</v>
      </c>
      <c r="H125">
        <v>1</v>
      </c>
      <c r="I125" t="s">
        <v>48</v>
      </c>
      <c r="J125" t="s">
        <v>241</v>
      </c>
      <c r="K125" t="s">
        <v>523</v>
      </c>
      <c r="M125" t="s">
        <v>583</v>
      </c>
      <c r="N125">
        <v>4</v>
      </c>
      <c r="O125" t="b">
        <v>0</v>
      </c>
      <c r="P125" t="s">
        <v>26</v>
      </c>
      <c r="Q125" t="s">
        <v>64</v>
      </c>
      <c r="T125" t="s">
        <v>130</v>
      </c>
      <c r="U125" s="4">
        <f t="shared" si="3"/>
        <v>46177</v>
      </c>
    </row>
    <row r="126" spans="1:21" x14ac:dyDescent="0.25">
      <c r="A126" t="s">
        <v>244</v>
      </c>
      <c r="B126" s="1">
        <v>46177</v>
      </c>
      <c r="C126" s="2">
        <v>0.85416666666666663</v>
      </c>
      <c r="D126" t="s">
        <v>371</v>
      </c>
      <c r="E126">
        <v>30100</v>
      </c>
      <c r="F126" t="s">
        <v>245</v>
      </c>
      <c r="G126" t="s">
        <v>23</v>
      </c>
      <c r="H126">
        <v>2</v>
      </c>
      <c r="I126" t="s">
        <v>48</v>
      </c>
      <c r="J126" t="s">
        <v>241</v>
      </c>
      <c r="K126" t="s">
        <v>246</v>
      </c>
      <c r="L126" t="s">
        <v>478</v>
      </c>
      <c r="M126" t="s">
        <v>583</v>
      </c>
      <c r="N126">
        <v>1</v>
      </c>
      <c r="O126" t="b">
        <v>0</v>
      </c>
      <c r="P126" t="s">
        <v>26</v>
      </c>
      <c r="Q126" t="s">
        <v>112</v>
      </c>
      <c r="R126" t="s">
        <v>88</v>
      </c>
      <c r="T126" t="s">
        <v>244</v>
      </c>
      <c r="U126" s="4">
        <f t="shared" si="3"/>
        <v>46177</v>
      </c>
    </row>
    <row r="127" spans="1:21" x14ac:dyDescent="0.25">
      <c r="A127" t="s">
        <v>29</v>
      </c>
      <c r="B127" s="1">
        <v>46177</v>
      </c>
      <c r="C127" s="2">
        <v>0.86388888888888893</v>
      </c>
      <c r="D127" t="s">
        <v>306</v>
      </c>
      <c r="E127">
        <v>30081</v>
      </c>
      <c r="F127" t="s">
        <v>87</v>
      </c>
      <c r="G127" t="s">
        <v>23</v>
      </c>
      <c r="H127">
        <v>2</v>
      </c>
      <c r="I127" t="s">
        <v>32</v>
      </c>
      <c r="J127" t="s">
        <v>241</v>
      </c>
      <c r="K127" t="s">
        <v>249</v>
      </c>
      <c r="L127" t="s">
        <v>479</v>
      </c>
      <c r="M127" t="s">
        <v>583</v>
      </c>
      <c r="N127">
        <v>1</v>
      </c>
      <c r="O127" t="b">
        <v>0</v>
      </c>
      <c r="P127" t="s">
        <v>26</v>
      </c>
      <c r="Q127" t="s">
        <v>38</v>
      </c>
      <c r="R127" t="s">
        <v>88</v>
      </c>
      <c r="T127" t="s">
        <v>29</v>
      </c>
      <c r="U127" s="4">
        <f t="shared" ref="U127:U155" si="4">IF(B127="","",B127)</f>
        <v>46177</v>
      </c>
    </row>
    <row r="128" spans="1:21" x14ac:dyDescent="0.25">
      <c r="A128" t="s">
        <v>29</v>
      </c>
      <c r="B128" s="1">
        <v>46177</v>
      </c>
      <c r="C128" s="2">
        <v>0.88194444444444442</v>
      </c>
      <c r="D128" t="s">
        <v>361</v>
      </c>
      <c r="E128">
        <v>30063</v>
      </c>
      <c r="F128" t="s">
        <v>192</v>
      </c>
      <c r="G128" t="s">
        <v>37</v>
      </c>
      <c r="H128">
        <v>1</v>
      </c>
      <c r="I128" t="s">
        <v>32</v>
      </c>
      <c r="J128" t="s">
        <v>241</v>
      </c>
      <c r="K128" t="s">
        <v>260</v>
      </c>
      <c r="M128" t="s">
        <v>583</v>
      </c>
      <c r="N128">
        <v>4</v>
      </c>
      <c r="O128" t="b">
        <v>0</v>
      </c>
      <c r="P128" t="s">
        <v>26</v>
      </c>
      <c r="Q128" t="s">
        <v>193</v>
      </c>
      <c r="R128" t="s">
        <v>92</v>
      </c>
      <c r="T128" t="s">
        <v>97</v>
      </c>
      <c r="U128" s="4">
        <f t="shared" si="4"/>
        <v>46177</v>
      </c>
    </row>
    <row r="129" spans="1:21" x14ac:dyDescent="0.25">
      <c r="A129" t="s">
        <v>55</v>
      </c>
      <c r="B129" s="1">
        <v>46177</v>
      </c>
      <c r="C129" s="2">
        <v>0.88055555555555554</v>
      </c>
      <c r="D129" t="s">
        <v>372</v>
      </c>
      <c r="E129">
        <v>30057</v>
      </c>
      <c r="F129" t="s">
        <v>254</v>
      </c>
      <c r="G129" t="s">
        <v>23</v>
      </c>
      <c r="H129">
        <v>3</v>
      </c>
      <c r="I129" t="s">
        <v>57</v>
      </c>
      <c r="J129" t="s">
        <v>241</v>
      </c>
      <c r="K129" t="s">
        <v>260</v>
      </c>
      <c r="L129" t="s">
        <v>480</v>
      </c>
      <c r="M129" t="s">
        <v>583</v>
      </c>
      <c r="N129">
        <v>1</v>
      </c>
      <c r="O129" t="b">
        <v>0</v>
      </c>
      <c r="P129" t="s">
        <v>26</v>
      </c>
      <c r="Q129" t="s">
        <v>38</v>
      </c>
      <c r="R129" t="s">
        <v>113</v>
      </c>
      <c r="T129" t="s">
        <v>97</v>
      </c>
      <c r="U129" s="4">
        <f t="shared" si="4"/>
        <v>46177</v>
      </c>
    </row>
    <row r="130" spans="1:21" x14ac:dyDescent="0.25">
      <c r="A130" t="s">
        <v>167</v>
      </c>
      <c r="B130" s="1">
        <v>46177</v>
      </c>
      <c r="C130" s="2">
        <v>0.82291666666666663</v>
      </c>
      <c r="D130" t="s">
        <v>373</v>
      </c>
      <c r="E130">
        <v>30302</v>
      </c>
      <c r="F130" t="s">
        <v>259</v>
      </c>
      <c r="G130" t="s">
        <v>23</v>
      </c>
      <c r="H130">
        <v>3</v>
      </c>
      <c r="I130" t="s">
        <v>74</v>
      </c>
      <c r="J130" t="s">
        <v>241</v>
      </c>
      <c r="K130" t="s">
        <v>523</v>
      </c>
      <c r="M130" t="s">
        <v>583</v>
      </c>
      <c r="N130">
        <v>1</v>
      </c>
      <c r="O130" t="b">
        <v>0</v>
      </c>
      <c r="P130" t="s">
        <v>26</v>
      </c>
      <c r="Q130" t="s">
        <v>261</v>
      </c>
      <c r="T130" t="s">
        <v>167</v>
      </c>
      <c r="U130" s="4">
        <f t="shared" si="4"/>
        <v>46177</v>
      </c>
    </row>
    <row r="131" spans="1:21" x14ac:dyDescent="0.25">
      <c r="A131" t="s">
        <v>167</v>
      </c>
      <c r="B131" s="1">
        <v>46177</v>
      </c>
      <c r="C131" s="2">
        <v>0.88194444444444442</v>
      </c>
      <c r="D131" t="s">
        <v>374</v>
      </c>
      <c r="E131">
        <v>30066</v>
      </c>
      <c r="F131" t="s">
        <v>262</v>
      </c>
      <c r="G131" t="s">
        <v>31</v>
      </c>
      <c r="H131">
        <v>2</v>
      </c>
      <c r="I131" t="s">
        <v>74</v>
      </c>
      <c r="J131" t="s">
        <v>241</v>
      </c>
      <c r="K131" t="s">
        <v>260</v>
      </c>
      <c r="L131" t="s">
        <v>481</v>
      </c>
      <c r="M131" t="s">
        <v>583</v>
      </c>
      <c r="N131">
        <v>3</v>
      </c>
      <c r="O131" t="b">
        <v>0</v>
      </c>
      <c r="P131" t="s">
        <v>26</v>
      </c>
      <c r="Q131" t="s">
        <v>34</v>
      </c>
      <c r="R131" t="s">
        <v>88</v>
      </c>
      <c r="T131" t="s">
        <v>97</v>
      </c>
      <c r="U131" s="4">
        <f t="shared" si="4"/>
        <v>46177</v>
      </c>
    </row>
    <row r="132" spans="1:21" x14ac:dyDescent="0.25">
      <c r="A132" t="s">
        <v>157</v>
      </c>
      <c r="B132" s="1">
        <v>46177</v>
      </c>
      <c r="C132" s="2">
        <v>0.85277777777777775</v>
      </c>
      <c r="D132" t="s">
        <v>300</v>
      </c>
      <c r="E132">
        <v>30245</v>
      </c>
      <c r="F132" t="s">
        <v>73</v>
      </c>
      <c r="G132" t="s">
        <v>23</v>
      </c>
      <c r="H132">
        <v>3</v>
      </c>
      <c r="I132" t="s">
        <v>74</v>
      </c>
      <c r="J132" t="s">
        <v>241</v>
      </c>
      <c r="K132" t="s">
        <v>246</v>
      </c>
      <c r="L132" t="s">
        <v>482</v>
      </c>
      <c r="M132" t="s">
        <v>583</v>
      </c>
      <c r="N132">
        <v>1</v>
      </c>
      <c r="O132" t="b">
        <v>0</v>
      </c>
      <c r="P132" t="s">
        <v>26</v>
      </c>
      <c r="Q132" t="s">
        <v>27</v>
      </c>
      <c r="S132" t="s">
        <v>265</v>
      </c>
      <c r="T132" t="s">
        <v>157</v>
      </c>
      <c r="U132" s="4">
        <f t="shared" si="4"/>
        <v>46177</v>
      </c>
    </row>
    <row r="133" spans="1:21" x14ac:dyDescent="0.25">
      <c r="A133" t="s">
        <v>157</v>
      </c>
      <c r="B133" s="1">
        <v>46177</v>
      </c>
      <c r="C133" s="2">
        <v>0.86805555555555558</v>
      </c>
      <c r="D133" t="s">
        <v>375</v>
      </c>
      <c r="E133">
        <v>30022</v>
      </c>
      <c r="F133" t="s">
        <v>266</v>
      </c>
      <c r="G133" t="s">
        <v>23</v>
      </c>
      <c r="H133">
        <v>2</v>
      </c>
      <c r="I133" t="s">
        <v>74</v>
      </c>
      <c r="J133" t="s">
        <v>241</v>
      </c>
      <c r="K133" t="s">
        <v>523</v>
      </c>
      <c r="L133" t="s">
        <v>483</v>
      </c>
      <c r="M133" t="s">
        <v>583</v>
      </c>
      <c r="N133">
        <v>1</v>
      </c>
      <c r="O133" t="b">
        <v>0</v>
      </c>
      <c r="P133" t="s">
        <v>26</v>
      </c>
      <c r="Q133" t="s">
        <v>41</v>
      </c>
      <c r="R133" t="s">
        <v>68</v>
      </c>
      <c r="T133" t="s">
        <v>97</v>
      </c>
      <c r="U133" s="4">
        <f t="shared" si="4"/>
        <v>46177</v>
      </c>
    </row>
    <row r="134" spans="1:21" x14ac:dyDescent="0.25">
      <c r="A134" t="s">
        <v>77</v>
      </c>
      <c r="B134" s="1">
        <v>46177</v>
      </c>
      <c r="C134" s="2">
        <v>0.85277777777777775</v>
      </c>
      <c r="D134" t="s">
        <v>323</v>
      </c>
      <c r="E134">
        <v>30246</v>
      </c>
      <c r="F134" t="s">
        <v>129</v>
      </c>
      <c r="G134" t="s">
        <v>23</v>
      </c>
      <c r="H134">
        <v>2</v>
      </c>
      <c r="I134" t="s">
        <v>51</v>
      </c>
      <c r="J134" t="s">
        <v>241</v>
      </c>
      <c r="K134" t="s">
        <v>246</v>
      </c>
      <c r="L134" t="s">
        <v>412</v>
      </c>
      <c r="M134" t="s">
        <v>583</v>
      </c>
      <c r="N134">
        <v>1</v>
      </c>
      <c r="O134" t="b">
        <v>0</v>
      </c>
      <c r="P134" t="s">
        <v>26</v>
      </c>
      <c r="Q134" t="s">
        <v>27</v>
      </c>
      <c r="T134" t="s">
        <v>77</v>
      </c>
      <c r="U134" s="4">
        <f t="shared" si="4"/>
        <v>46177</v>
      </c>
    </row>
    <row r="135" spans="1:21" x14ac:dyDescent="0.25">
      <c r="A135" t="s">
        <v>79</v>
      </c>
      <c r="B135" s="1">
        <v>46177</v>
      </c>
      <c r="C135" s="2">
        <v>0.85347222222222219</v>
      </c>
      <c r="D135" t="s">
        <v>331</v>
      </c>
      <c r="E135">
        <v>30247</v>
      </c>
      <c r="F135" t="s">
        <v>140</v>
      </c>
      <c r="G135" t="s">
        <v>23</v>
      </c>
      <c r="H135">
        <v>0</v>
      </c>
      <c r="I135" t="s">
        <v>67</v>
      </c>
      <c r="J135" t="s">
        <v>241</v>
      </c>
      <c r="K135" t="s">
        <v>246</v>
      </c>
      <c r="L135" t="s">
        <v>412</v>
      </c>
      <c r="M135" t="s">
        <v>583</v>
      </c>
      <c r="N135">
        <v>1</v>
      </c>
      <c r="O135" t="b">
        <v>0</v>
      </c>
      <c r="P135" t="s">
        <v>26</v>
      </c>
      <c r="Q135" t="s">
        <v>27</v>
      </c>
      <c r="T135" t="s">
        <v>79</v>
      </c>
      <c r="U135" s="4">
        <f t="shared" si="4"/>
        <v>46177</v>
      </c>
    </row>
    <row r="136" spans="1:21" x14ac:dyDescent="0.25">
      <c r="A136" t="s">
        <v>86</v>
      </c>
      <c r="B136" s="1">
        <v>46177</v>
      </c>
      <c r="C136" s="2">
        <v>0.8305555555555556</v>
      </c>
      <c r="D136" t="s">
        <v>296</v>
      </c>
      <c r="E136">
        <v>30025</v>
      </c>
      <c r="F136" t="s">
        <v>59</v>
      </c>
      <c r="G136" t="s">
        <v>37</v>
      </c>
      <c r="H136">
        <v>1</v>
      </c>
      <c r="I136" t="s">
        <v>57</v>
      </c>
      <c r="J136" t="s">
        <v>241</v>
      </c>
      <c r="K136" t="s">
        <v>523</v>
      </c>
      <c r="L136" t="s">
        <v>400</v>
      </c>
      <c r="M136" t="s">
        <v>583</v>
      </c>
      <c r="N136">
        <v>4</v>
      </c>
      <c r="O136" t="b">
        <v>0</v>
      </c>
      <c r="P136" t="s">
        <v>26</v>
      </c>
      <c r="Q136" t="s">
        <v>60</v>
      </c>
      <c r="R136" t="s">
        <v>60</v>
      </c>
      <c r="T136" t="s">
        <v>86</v>
      </c>
      <c r="U136" s="4">
        <f t="shared" si="4"/>
        <v>46177</v>
      </c>
    </row>
    <row r="137" spans="1:21" x14ac:dyDescent="0.25">
      <c r="A137" t="s">
        <v>86</v>
      </c>
      <c r="B137" s="1">
        <v>46177</v>
      </c>
      <c r="C137" s="2">
        <v>0.86597222222222225</v>
      </c>
      <c r="D137" t="s">
        <v>376</v>
      </c>
      <c r="E137">
        <v>30324</v>
      </c>
      <c r="F137" t="s">
        <v>271</v>
      </c>
      <c r="G137" t="s">
        <v>37</v>
      </c>
      <c r="H137">
        <v>0</v>
      </c>
      <c r="I137" t="s">
        <v>57</v>
      </c>
      <c r="J137" t="s">
        <v>241</v>
      </c>
      <c r="K137" t="s">
        <v>523</v>
      </c>
      <c r="M137" t="s">
        <v>583</v>
      </c>
      <c r="N137">
        <v>4</v>
      </c>
      <c r="O137" t="b">
        <v>0</v>
      </c>
      <c r="P137" t="s">
        <v>26</v>
      </c>
      <c r="Q137" t="s">
        <v>122</v>
      </c>
      <c r="T137" t="s">
        <v>86</v>
      </c>
      <c r="U137" s="4">
        <f t="shared" si="4"/>
        <v>46177</v>
      </c>
    </row>
    <row r="138" spans="1:21" x14ac:dyDescent="0.25">
      <c r="A138" t="s">
        <v>86</v>
      </c>
      <c r="B138" s="1">
        <v>46177</v>
      </c>
      <c r="C138" s="2">
        <v>0.88055555555555554</v>
      </c>
      <c r="D138" t="s">
        <v>377</v>
      </c>
      <c r="E138">
        <v>30053</v>
      </c>
      <c r="F138" t="s">
        <v>272</v>
      </c>
      <c r="G138" t="s">
        <v>31</v>
      </c>
      <c r="H138">
        <v>3</v>
      </c>
      <c r="I138" t="s">
        <v>57</v>
      </c>
      <c r="J138" t="s">
        <v>241</v>
      </c>
      <c r="K138" t="s">
        <v>242</v>
      </c>
      <c r="L138" t="s">
        <v>427</v>
      </c>
      <c r="M138" t="s">
        <v>583</v>
      </c>
      <c r="N138">
        <v>3</v>
      </c>
      <c r="O138" t="b">
        <v>0</v>
      </c>
      <c r="P138" t="s">
        <v>26</v>
      </c>
      <c r="Q138" t="s">
        <v>38</v>
      </c>
      <c r="R138" t="s">
        <v>76</v>
      </c>
      <c r="T138" t="s">
        <v>97</v>
      </c>
      <c r="U138" s="4">
        <f t="shared" si="4"/>
        <v>46177</v>
      </c>
    </row>
    <row r="139" spans="1:21" x14ac:dyDescent="0.25">
      <c r="A139" t="s">
        <v>86</v>
      </c>
      <c r="B139" s="1">
        <v>46177</v>
      </c>
      <c r="C139" s="2">
        <v>0.88680555555555551</v>
      </c>
      <c r="D139" t="s">
        <v>294</v>
      </c>
      <c r="E139">
        <v>30106</v>
      </c>
      <c r="F139" t="s">
        <v>50</v>
      </c>
      <c r="G139" t="s">
        <v>23</v>
      </c>
      <c r="H139">
        <v>2</v>
      </c>
      <c r="I139" t="s">
        <v>57</v>
      </c>
      <c r="J139" t="s">
        <v>241</v>
      </c>
      <c r="K139" t="s">
        <v>52</v>
      </c>
      <c r="L139" t="s">
        <v>484</v>
      </c>
      <c r="M139" t="s">
        <v>583</v>
      </c>
      <c r="N139">
        <v>1</v>
      </c>
      <c r="O139" t="b">
        <v>0</v>
      </c>
      <c r="P139" t="s">
        <v>26</v>
      </c>
      <c r="Q139" t="s">
        <v>53</v>
      </c>
      <c r="R139" t="s">
        <v>54</v>
      </c>
      <c r="T139" t="s">
        <v>86</v>
      </c>
      <c r="U139" s="4">
        <f t="shared" si="4"/>
        <v>46177</v>
      </c>
    </row>
    <row r="140" spans="1:21" x14ac:dyDescent="0.25">
      <c r="A140" t="s">
        <v>143</v>
      </c>
      <c r="B140" s="1">
        <v>46177</v>
      </c>
      <c r="C140" s="2">
        <v>0.86319444444444449</v>
      </c>
      <c r="D140" t="s">
        <v>346</v>
      </c>
      <c r="E140">
        <v>30075</v>
      </c>
      <c r="F140" t="s">
        <v>168</v>
      </c>
      <c r="G140" t="s">
        <v>31</v>
      </c>
      <c r="H140">
        <v>0</v>
      </c>
      <c r="I140" t="s">
        <v>32</v>
      </c>
      <c r="J140" t="s">
        <v>241</v>
      </c>
      <c r="K140" t="s">
        <v>249</v>
      </c>
      <c r="L140" t="s">
        <v>451</v>
      </c>
      <c r="M140" t="s">
        <v>583</v>
      </c>
      <c r="N140">
        <v>3</v>
      </c>
      <c r="O140" t="b">
        <v>0</v>
      </c>
      <c r="P140" t="s">
        <v>26</v>
      </c>
      <c r="Q140" t="s">
        <v>53</v>
      </c>
      <c r="R140" t="s">
        <v>35</v>
      </c>
      <c r="T140" t="s">
        <v>143</v>
      </c>
      <c r="U140" s="4">
        <f t="shared" si="4"/>
        <v>46177</v>
      </c>
    </row>
    <row r="141" spans="1:21" x14ac:dyDescent="0.25">
      <c r="A141" t="s">
        <v>143</v>
      </c>
      <c r="B141" s="1">
        <v>46177</v>
      </c>
      <c r="C141" s="2">
        <v>0.8833333333333333</v>
      </c>
      <c r="D141" t="s">
        <v>305</v>
      </c>
      <c r="E141">
        <v>30242</v>
      </c>
      <c r="F141" t="s">
        <v>85</v>
      </c>
      <c r="G141" t="s">
        <v>23</v>
      </c>
      <c r="H141">
        <v>3</v>
      </c>
      <c r="I141" t="s">
        <v>32</v>
      </c>
      <c r="J141" t="s">
        <v>241</v>
      </c>
      <c r="K141" t="s">
        <v>52</v>
      </c>
      <c r="L141" t="s">
        <v>485</v>
      </c>
      <c r="M141" t="s">
        <v>583</v>
      </c>
      <c r="N141">
        <v>1</v>
      </c>
      <c r="O141" t="b">
        <v>0</v>
      </c>
      <c r="P141" t="s">
        <v>26</v>
      </c>
      <c r="Q141" t="s">
        <v>27</v>
      </c>
      <c r="T141" t="s">
        <v>143</v>
      </c>
      <c r="U141" s="4">
        <f t="shared" si="4"/>
        <v>46177</v>
      </c>
    </row>
    <row r="142" spans="1:21" x14ac:dyDescent="0.25">
      <c r="A142" t="s">
        <v>143</v>
      </c>
      <c r="B142" s="1">
        <v>46177</v>
      </c>
      <c r="C142" s="2">
        <v>0.88472222222222219</v>
      </c>
      <c r="D142" t="s">
        <v>378</v>
      </c>
      <c r="E142">
        <v>30112</v>
      </c>
      <c r="F142" t="s">
        <v>276</v>
      </c>
      <c r="G142" t="s">
        <v>23</v>
      </c>
      <c r="H142">
        <v>3</v>
      </c>
      <c r="I142" t="s">
        <v>32</v>
      </c>
      <c r="J142" t="s">
        <v>241</v>
      </c>
      <c r="K142" t="s">
        <v>52</v>
      </c>
      <c r="L142" t="s">
        <v>486</v>
      </c>
      <c r="M142" t="s">
        <v>583</v>
      </c>
      <c r="N142">
        <v>1</v>
      </c>
      <c r="O142" t="b">
        <v>0</v>
      </c>
      <c r="P142" t="s">
        <v>26</v>
      </c>
      <c r="Q142" t="s">
        <v>38</v>
      </c>
      <c r="R142" t="s">
        <v>102</v>
      </c>
      <c r="T142" t="s">
        <v>143</v>
      </c>
      <c r="U142" s="4">
        <f t="shared" si="4"/>
        <v>46177</v>
      </c>
    </row>
    <row r="143" spans="1:21" x14ac:dyDescent="0.25">
      <c r="A143" t="s">
        <v>278</v>
      </c>
      <c r="B143" s="1">
        <v>46177</v>
      </c>
      <c r="C143" s="2">
        <v>0.86388888888888893</v>
      </c>
      <c r="D143" t="s">
        <v>379</v>
      </c>
      <c r="E143">
        <v>33058</v>
      </c>
      <c r="F143" t="s">
        <v>279</v>
      </c>
      <c r="G143" t="s">
        <v>37</v>
      </c>
      <c r="H143">
        <v>0</v>
      </c>
      <c r="I143" t="s">
        <v>48</v>
      </c>
      <c r="J143" t="s">
        <v>241</v>
      </c>
      <c r="K143" t="s">
        <v>249</v>
      </c>
      <c r="L143" t="s">
        <v>487</v>
      </c>
      <c r="M143" t="s">
        <v>448</v>
      </c>
      <c r="N143">
        <v>4</v>
      </c>
      <c r="O143" t="b">
        <v>0</v>
      </c>
      <c r="P143" t="s">
        <v>26</v>
      </c>
      <c r="Q143" t="s">
        <v>41</v>
      </c>
      <c r="R143" t="s">
        <v>42</v>
      </c>
      <c r="T143" t="s">
        <v>278</v>
      </c>
      <c r="U143" s="4">
        <f t="shared" si="4"/>
        <v>46177</v>
      </c>
    </row>
    <row r="144" spans="1:21" x14ac:dyDescent="0.25">
      <c r="A144" t="s">
        <v>104</v>
      </c>
      <c r="B144" s="1">
        <v>46177</v>
      </c>
      <c r="C144" s="2">
        <v>0.88472222222222219</v>
      </c>
      <c r="D144" t="s">
        <v>299</v>
      </c>
      <c r="E144">
        <v>30244</v>
      </c>
      <c r="F144" t="s">
        <v>70</v>
      </c>
      <c r="G144" t="s">
        <v>23</v>
      </c>
      <c r="H144">
        <v>2</v>
      </c>
      <c r="I144" t="s">
        <v>24</v>
      </c>
      <c r="J144" t="s">
        <v>241</v>
      </c>
      <c r="K144" t="s">
        <v>52</v>
      </c>
      <c r="L144" t="s">
        <v>453</v>
      </c>
      <c r="M144" t="s">
        <v>583</v>
      </c>
      <c r="N144">
        <v>1</v>
      </c>
      <c r="O144" t="b">
        <v>0</v>
      </c>
      <c r="P144" t="s">
        <v>26</v>
      </c>
      <c r="Q144" t="s">
        <v>27</v>
      </c>
      <c r="T144" t="s">
        <v>104</v>
      </c>
      <c r="U144" s="4">
        <f t="shared" si="4"/>
        <v>46177</v>
      </c>
    </row>
    <row r="145" spans="1:21" x14ac:dyDescent="0.25">
      <c r="A145" t="s">
        <v>141</v>
      </c>
      <c r="B145" s="1">
        <v>46177</v>
      </c>
      <c r="C145" s="2">
        <v>0.85486111111111107</v>
      </c>
      <c r="D145" t="s">
        <v>380</v>
      </c>
      <c r="E145">
        <v>30306</v>
      </c>
      <c r="F145" t="s">
        <v>283</v>
      </c>
      <c r="G145" t="s">
        <v>23</v>
      </c>
      <c r="H145">
        <v>1</v>
      </c>
      <c r="I145" t="s">
        <v>74</v>
      </c>
      <c r="J145" t="s">
        <v>241</v>
      </c>
      <c r="K145" t="s">
        <v>523</v>
      </c>
      <c r="M145" t="s">
        <v>583</v>
      </c>
      <c r="N145">
        <v>1</v>
      </c>
      <c r="O145" t="b">
        <v>0</v>
      </c>
      <c r="P145" t="s">
        <v>26</v>
      </c>
      <c r="Q145" t="s">
        <v>261</v>
      </c>
      <c r="T145" t="s">
        <v>141</v>
      </c>
      <c r="U145" s="4">
        <f t="shared" si="4"/>
        <v>46177</v>
      </c>
    </row>
    <row r="146" spans="1:21" x14ac:dyDescent="0.25">
      <c r="A146" t="s">
        <v>97</v>
      </c>
      <c r="B146" s="1">
        <v>46177</v>
      </c>
      <c r="C146" s="2">
        <v>0.88124999999999998</v>
      </c>
      <c r="D146" t="s">
        <v>381</v>
      </c>
      <c r="E146">
        <v>30049</v>
      </c>
      <c r="F146" t="s">
        <v>285</v>
      </c>
      <c r="G146" t="s">
        <v>23</v>
      </c>
      <c r="H146">
        <v>4</v>
      </c>
      <c r="I146" t="s">
        <v>71</v>
      </c>
      <c r="J146" t="s">
        <v>241</v>
      </c>
      <c r="K146" t="s">
        <v>242</v>
      </c>
      <c r="L146" t="s">
        <v>488</v>
      </c>
      <c r="M146" t="s">
        <v>583</v>
      </c>
      <c r="N146">
        <v>1</v>
      </c>
      <c r="O146" t="b">
        <v>0</v>
      </c>
      <c r="P146" t="s">
        <v>26</v>
      </c>
      <c r="Q146" t="s">
        <v>41</v>
      </c>
      <c r="R146" t="s">
        <v>282</v>
      </c>
      <c r="T146" t="s">
        <v>97</v>
      </c>
      <c r="U146" s="4">
        <f t="shared" si="4"/>
        <v>46177</v>
      </c>
    </row>
    <row r="147" spans="1:21" x14ac:dyDescent="0.25">
      <c r="A147" t="s">
        <v>130</v>
      </c>
      <c r="B147" s="1">
        <v>46181</v>
      </c>
      <c r="C147" s="2">
        <v>0.81180555555555556</v>
      </c>
      <c r="D147" t="s">
        <v>368</v>
      </c>
      <c r="E147">
        <v>29922</v>
      </c>
      <c r="F147" t="s">
        <v>208</v>
      </c>
      <c r="G147" t="s">
        <v>23</v>
      </c>
      <c r="H147">
        <v>4</v>
      </c>
      <c r="I147" t="s">
        <v>48</v>
      </c>
      <c r="J147" t="s">
        <v>100</v>
      </c>
      <c r="K147" t="s">
        <v>205</v>
      </c>
      <c r="L147" t="s">
        <v>489</v>
      </c>
      <c r="M147" t="s">
        <v>487</v>
      </c>
      <c r="N147">
        <v>1</v>
      </c>
      <c r="O147" t="b">
        <v>0</v>
      </c>
      <c r="P147" t="s">
        <v>26</v>
      </c>
      <c r="Q147" t="s">
        <v>41</v>
      </c>
      <c r="R147" t="s">
        <v>42</v>
      </c>
      <c r="T147" t="s">
        <v>28</v>
      </c>
      <c r="U147" s="4">
        <f t="shared" si="4"/>
        <v>46181</v>
      </c>
    </row>
    <row r="148" spans="1:21" x14ac:dyDescent="0.25">
      <c r="A148" t="s">
        <v>130</v>
      </c>
      <c r="B148" s="1">
        <v>46181</v>
      </c>
      <c r="C148" s="2">
        <v>0.8256944444444444</v>
      </c>
      <c r="D148" t="s">
        <v>382</v>
      </c>
      <c r="E148">
        <v>29986</v>
      </c>
      <c r="F148" t="s">
        <v>243</v>
      </c>
      <c r="G148" t="s">
        <v>23</v>
      </c>
      <c r="H148">
        <v>4</v>
      </c>
      <c r="I148" t="s">
        <v>48</v>
      </c>
      <c r="J148" t="s">
        <v>100</v>
      </c>
      <c r="K148" t="s">
        <v>286</v>
      </c>
      <c r="L148" t="s">
        <v>490</v>
      </c>
      <c r="M148" t="s">
        <v>583</v>
      </c>
      <c r="N148">
        <v>1</v>
      </c>
      <c r="O148" t="b">
        <v>0</v>
      </c>
      <c r="P148" t="s">
        <v>26</v>
      </c>
      <c r="Q148" t="s">
        <v>112</v>
      </c>
      <c r="R148" t="s">
        <v>109</v>
      </c>
      <c r="T148" t="s">
        <v>28</v>
      </c>
      <c r="U148" s="4">
        <f t="shared" si="4"/>
        <v>46181</v>
      </c>
    </row>
    <row r="149" spans="1:21" x14ac:dyDescent="0.25">
      <c r="A149" t="s">
        <v>130</v>
      </c>
      <c r="B149" s="1">
        <v>46181</v>
      </c>
      <c r="C149" s="2">
        <v>0.87083333333333335</v>
      </c>
      <c r="D149" t="s">
        <v>355</v>
      </c>
      <c r="E149">
        <v>29764</v>
      </c>
      <c r="F149" t="s">
        <v>183</v>
      </c>
      <c r="G149" t="s">
        <v>37</v>
      </c>
      <c r="H149">
        <v>2</v>
      </c>
      <c r="I149" t="s">
        <v>48</v>
      </c>
      <c r="J149" t="s">
        <v>584</v>
      </c>
      <c r="K149" t="s">
        <v>527</v>
      </c>
      <c r="L149" t="s">
        <v>491</v>
      </c>
      <c r="M149" t="s">
        <v>583</v>
      </c>
      <c r="N149">
        <v>4</v>
      </c>
      <c r="O149" t="b">
        <v>0</v>
      </c>
      <c r="P149" t="s">
        <v>26</v>
      </c>
      <c r="Q149" t="s">
        <v>27</v>
      </c>
      <c r="T149" t="s">
        <v>28</v>
      </c>
      <c r="U149" s="4">
        <f t="shared" si="4"/>
        <v>46181</v>
      </c>
    </row>
    <row r="150" spans="1:21" x14ac:dyDescent="0.25">
      <c r="A150" t="s">
        <v>130</v>
      </c>
      <c r="B150" s="1">
        <v>46181</v>
      </c>
      <c r="C150" s="2">
        <v>0.88263888888888886</v>
      </c>
      <c r="D150" t="s">
        <v>351</v>
      </c>
      <c r="E150">
        <v>29753</v>
      </c>
      <c r="F150" t="s">
        <v>176</v>
      </c>
      <c r="G150" t="s">
        <v>37</v>
      </c>
      <c r="H150">
        <v>3</v>
      </c>
      <c r="I150" t="s">
        <v>48</v>
      </c>
      <c r="J150" t="s">
        <v>585</v>
      </c>
      <c r="K150" t="s">
        <v>173</v>
      </c>
      <c r="L150" t="s">
        <v>492</v>
      </c>
      <c r="M150" t="s">
        <v>583</v>
      </c>
      <c r="N150">
        <v>4</v>
      </c>
      <c r="O150" t="b">
        <v>0</v>
      </c>
      <c r="P150" t="s">
        <v>26</v>
      </c>
      <c r="Q150" t="s">
        <v>27</v>
      </c>
      <c r="T150" t="s">
        <v>28</v>
      </c>
      <c r="U150" s="4">
        <f t="shared" si="4"/>
        <v>46181</v>
      </c>
    </row>
    <row r="151" spans="1:21" x14ac:dyDescent="0.25">
      <c r="A151" t="s">
        <v>244</v>
      </c>
      <c r="B151" s="1">
        <v>46181</v>
      </c>
      <c r="C151" s="2">
        <v>0.85416666666666663</v>
      </c>
      <c r="D151" t="s">
        <v>340</v>
      </c>
      <c r="E151">
        <v>30237</v>
      </c>
      <c r="F151" t="s">
        <v>155</v>
      </c>
      <c r="G151" t="s">
        <v>23</v>
      </c>
      <c r="H151">
        <v>4</v>
      </c>
      <c r="I151" t="s">
        <v>48</v>
      </c>
      <c r="J151" t="s">
        <v>100</v>
      </c>
      <c r="K151" t="s">
        <v>101</v>
      </c>
      <c r="L151" t="s">
        <v>493</v>
      </c>
      <c r="M151" t="s">
        <v>583</v>
      </c>
      <c r="N151">
        <v>1</v>
      </c>
      <c r="O151" t="b">
        <v>0</v>
      </c>
      <c r="P151" t="s">
        <v>26</v>
      </c>
      <c r="Q151" t="s">
        <v>27</v>
      </c>
      <c r="T151" t="s">
        <v>28</v>
      </c>
      <c r="U151" s="4">
        <f t="shared" si="4"/>
        <v>46181</v>
      </c>
    </row>
    <row r="152" spans="1:21" x14ac:dyDescent="0.25">
      <c r="A152" t="s">
        <v>95</v>
      </c>
      <c r="B152" s="1">
        <v>46181</v>
      </c>
      <c r="C152" s="2">
        <v>0.85347222222222219</v>
      </c>
      <c r="D152" t="s">
        <v>344</v>
      </c>
      <c r="E152">
        <v>32405</v>
      </c>
      <c r="F152" t="s">
        <v>161</v>
      </c>
      <c r="G152" t="s">
        <v>23</v>
      </c>
      <c r="H152">
        <v>3</v>
      </c>
      <c r="I152" t="s">
        <v>71</v>
      </c>
      <c r="J152" t="s">
        <v>100</v>
      </c>
      <c r="K152" t="s">
        <v>101</v>
      </c>
      <c r="M152" t="s">
        <v>583</v>
      </c>
      <c r="N152">
        <v>1</v>
      </c>
      <c r="O152" t="b">
        <v>0</v>
      </c>
      <c r="P152" t="s">
        <v>26</v>
      </c>
      <c r="Q152" t="s">
        <v>162</v>
      </c>
      <c r="T152" t="s">
        <v>28</v>
      </c>
      <c r="U152" s="4">
        <f t="shared" si="4"/>
        <v>46181</v>
      </c>
    </row>
    <row r="153" spans="1:21" x14ac:dyDescent="0.25">
      <c r="A153" t="s">
        <v>182</v>
      </c>
      <c r="B153" s="1">
        <v>46181</v>
      </c>
      <c r="C153" s="2">
        <v>0.87222222222222223</v>
      </c>
      <c r="D153" t="s">
        <v>383</v>
      </c>
      <c r="E153">
        <v>28794</v>
      </c>
      <c r="F153" t="s">
        <v>250</v>
      </c>
      <c r="G153" t="s">
        <v>31</v>
      </c>
      <c r="H153">
        <v>5</v>
      </c>
      <c r="I153" t="s">
        <v>57</v>
      </c>
      <c r="J153" t="s">
        <v>584</v>
      </c>
      <c r="K153" t="s">
        <v>526</v>
      </c>
      <c r="L153" t="s">
        <v>463</v>
      </c>
      <c r="M153" t="s">
        <v>516</v>
      </c>
      <c r="N153">
        <v>3</v>
      </c>
      <c r="O153" t="b">
        <v>0</v>
      </c>
      <c r="P153" t="s">
        <v>26</v>
      </c>
      <c r="Q153" t="s">
        <v>251</v>
      </c>
      <c r="R153" t="s">
        <v>45</v>
      </c>
      <c r="T153" t="s">
        <v>28</v>
      </c>
      <c r="U153" s="4">
        <f t="shared" si="4"/>
        <v>46181</v>
      </c>
    </row>
    <row r="154" spans="1:21" x14ac:dyDescent="0.25">
      <c r="A154" t="s">
        <v>182</v>
      </c>
      <c r="B154" s="1">
        <v>46181</v>
      </c>
      <c r="C154" s="2">
        <v>0.875</v>
      </c>
      <c r="D154" t="s">
        <v>384</v>
      </c>
      <c r="E154">
        <v>29767</v>
      </c>
      <c r="F154" t="s">
        <v>252</v>
      </c>
      <c r="G154" t="s">
        <v>23</v>
      </c>
      <c r="H154">
        <v>4</v>
      </c>
      <c r="I154" t="s">
        <v>57</v>
      </c>
      <c r="J154" t="s">
        <v>584</v>
      </c>
      <c r="K154" t="s">
        <v>526</v>
      </c>
      <c r="L154" t="s">
        <v>494</v>
      </c>
      <c r="M154" t="s">
        <v>583</v>
      </c>
      <c r="N154">
        <v>1</v>
      </c>
      <c r="O154" t="b">
        <v>0</v>
      </c>
      <c r="P154" t="s">
        <v>26</v>
      </c>
      <c r="Q154" t="s">
        <v>27</v>
      </c>
      <c r="T154" t="s">
        <v>28</v>
      </c>
      <c r="U154" s="4">
        <f t="shared" si="4"/>
        <v>46181</v>
      </c>
    </row>
    <row r="155" spans="1:21" x14ac:dyDescent="0.25">
      <c r="A155" t="s">
        <v>69</v>
      </c>
      <c r="B155" s="1">
        <v>46181</v>
      </c>
      <c r="C155" s="2">
        <v>0.85486111111111107</v>
      </c>
      <c r="D155" t="s">
        <v>385</v>
      </c>
      <c r="E155">
        <v>29982</v>
      </c>
      <c r="F155" t="s">
        <v>256</v>
      </c>
      <c r="G155" t="s">
        <v>23</v>
      </c>
      <c r="H155">
        <v>4</v>
      </c>
      <c r="I155" t="s">
        <v>71</v>
      </c>
      <c r="J155" t="s">
        <v>100</v>
      </c>
      <c r="K155" t="s">
        <v>287</v>
      </c>
      <c r="L155" t="s">
        <v>495</v>
      </c>
      <c r="M155" t="s">
        <v>583</v>
      </c>
      <c r="N155">
        <v>1</v>
      </c>
      <c r="O155" t="b">
        <v>0</v>
      </c>
      <c r="P155" t="s">
        <v>26</v>
      </c>
      <c r="Q155" t="s">
        <v>248</v>
      </c>
      <c r="R155" t="s">
        <v>107</v>
      </c>
      <c r="S155" t="s">
        <v>258</v>
      </c>
      <c r="T155" t="s">
        <v>28</v>
      </c>
      <c r="U155" s="4">
        <f t="shared" si="4"/>
        <v>46181</v>
      </c>
    </row>
    <row r="156" spans="1:21" x14ac:dyDescent="0.25">
      <c r="A156" t="s">
        <v>167</v>
      </c>
      <c r="B156" s="1">
        <v>46181</v>
      </c>
      <c r="C156" s="2">
        <v>0.81180555555555556</v>
      </c>
      <c r="D156" t="s">
        <v>386</v>
      </c>
      <c r="E156">
        <v>29921</v>
      </c>
      <c r="F156" t="s">
        <v>263</v>
      </c>
      <c r="G156" t="s">
        <v>40</v>
      </c>
      <c r="H156">
        <v>4</v>
      </c>
      <c r="I156" t="s">
        <v>74</v>
      </c>
      <c r="J156" t="s">
        <v>100</v>
      </c>
      <c r="K156" t="s">
        <v>205</v>
      </c>
      <c r="L156" t="s">
        <v>346</v>
      </c>
      <c r="M156" t="s">
        <v>583</v>
      </c>
      <c r="N156">
        <v>2</v>
      </c>
      <c r="O156" t="b">
        <v>0</v>
      </c>
      <c r="P156" t="s">
        <v>26</v>
      </c>
      <c r="Q156" t="s">
        <v>34</v>
      </c>
      <c r="R156" t="s">
        <v>35</v>
      </c>
      <c r="T156" t="s">
        <v>28</v>
      </c>
      <c r="U156" s="4">
        <f t="shared" ref="U156:U219" si="5">IF(B156="","",B156)</f>
        <v>46181</v>
      </c>
    </row>
    <row r="157" spans="1:21" x14ac:dyDescent="0.25">
      <c r="A157" t="s">
        <v>72</v>
      </c>
      <c r="B157" s="1">
        <v>46181</v>
      </c>
      <c r="C157" s="2">
        <v>0.87152777777777779</v>
      </c>
      <c r="D157" t="s">
        <v>387</v>
      </c>
      <c r="E157">
        <v>28823</v>
      </c>
      <c r="F157" t="s">
        <v>264</v>
      </c>
      <c r="G157" t="s">
        <v>31</v>
      </c>
      <c r="H157">
        <v>3</v>
      </c>
      <c r="I157" t="s">
        <v>74</v>
      </c>
      <c r="J157" t="s">
        <v>584</v>
      </c>
      <c r="K157" t="s">
        <v>526</v>
      </c>
      <c r="L157" t="s">
        <v>496</v>
      </c>
      <c r="M157" t="s">
        <v>398</v>
      </c>
      <c r="N157">
        <v>3</v>
      </c>
      <c r="O157" t="b">
        <v>0</v>
      </c>
      <c r="P157" t="s">
        <v>26</v>
      </c>
      <c r="Q157" t="s">
        <v>41</v>
      </c>
      <c r="R157" t="s">
        <v>49</v>
      </c>
      <c r="T157" t="s">
        <v>28</v>
      </c>
      <c r="U157" s="4">
        <f t="shared" si="5"/>
        <v>46181</v>
      </c>
    </row>
    <row r="158" spans="1:21" x14ac:dyDescent="0.25">
      <c r="A158" t="s">
        <v>157</v>
      </c>
      <c r="B158" s="1">
        <v>46181</v>
      </c>
      <c r="C158" s="2">
        <v>0.87083333333333335</v>
      </c>
      <c r="D158" t="s">
        <v>362</v>
      </c>
      <c r="E158">
        <v>29763</v>
      </c>
      <c r="F158" t="s">
        <v>194</v>
      </c>
      <c r="G158" t="s">
        <v>37</v>
      </c>
      <c r="H158">
        <v>3</v>
      </c>
      <c r="I158" t="s">
        <v>74</v>
      </c>
      <c r="J158" t="s">
        <v>584</v>
      </c>
      <c r="K158" t="s">
        <v>527</v>
      </c>
      <c r="L158" t="s">
        <v>404</v>
      </c>
      <c r="M158" t="s">
        <v>583</v>
      </c>
      <c r="N158">
        <v>4</v>
      </c>
      <c r="O158" t="b">
        <v>0</v>
      </c>
      <c r="P158" t="s">
        <v>26</v>
      </c>
      <c r="Q158" t="s">
        <v>27</v>
      </c>
      <c r="S158" t="s">
        <v>267</v>
      </c>
      <c r="T158" t="s">
        <v>28</v>
      </c>
      <c r="U158" s="4">
        <f t="shared" si="5"/>
        <v>46181</v>
      </c>
    </row>
    <row r="159" spans="1:21" x14ac:dyDescent="0.25">
      <c r="A159" t="s">
        <v>77</v>
      </c>
      <c r="B159" s="1">
        <v>46181</v>
      </c>
      <c r="C159" s="2">
        <v>0.83402777777777781</v>
      </c>
      <c r="D159" t="s">
        <v>313</v>
      </c>
      <c r="E159">
        <v>30249</v>
      </c>
      <c r="F159" t="s">
        <v>110</v>
      </c>
      <c r="G159" t="s">
        <v>23</v>
      </c>
      <c r="H159">
        <v>3</v>
      </c>
      <c r="I159" t="s">
        <v>51</v>
      </c>
      <c r="J159" t="s">
        <v>100</v>
      </c>
      <c r="K159" t="s">
        <v>286</v>
      </c>
      <c r="L159" t="s">
        <v>327</v>
      </c>
      <c r="M159" t="s">
        <v>583</v>
      </c>
      <c r="N159">
        <v>1</v>
      </c>
      <c r="O159" t="b">
        <v>0</v>
      </c>
      <c r="P159" t="s">
        <v>26</v>
      </c>
      <c r="Q159" t="s">
        <v>27</v>
      </c>
      <c r="T159" t="s">
        <v>28</v>
      </c>
      <c r="U159" s="4">
        <f t="shared" si="5"/>
        <v>46181</v>
      </c>
    </row>
    <row r="160" spans="1:21" x14ac:dyDescent="0.25">
      <c r="A160" t="s">
        <v>79</v>
      </c>
      <c r="B160" s="1">
        <v>46181</v>
      </c>
      <c r="C160" s="2">
        <v>0.87083333333333335</v>
      </c>
      <c r="D160" t="s">
        <v>348</v>
      </c>
      <c r="E160">
        <v>29762</v>
      </c>
      <c r="F160" t="s">
        <v>171</v>
      </c>
      <c r="G160" t="s">
        <v>40</v>
      </c>
      <c r="H160">
        <v>3</v>
      </c>
      <c r="I160" t="s">
        <v>67</v>
      </c>
      <c r="J160" t="s">
        <v>584</v>
      </c>
      <c r="K160" t="s">
        <v>527</v>
      </c>
      <c r="L160" t="s">
        <v>423</v>
      </c>
      <c r="M160" t="s">
        <v>583</v>
      </c>
      <c r="N160">
        <v>2</v>
      </c>
      <c r="O160" t="b">
        <v>0</v>
      </c>
      <c r="P160" t="s">
        <v>26</v>
      </c>
      <c r="Q160" t="s">
        <v>27</v>
      </c>
      <c r="T160" t="s">
        <v>28</v>
      </c>
      <c r="U160" s="4">
        <f t="shared" si="5"/>
        <v>46181</v>
      </c>
    </row>
    <row r="161" spans="1:21" x14ac:dyDescent="0.25">
      <c r="A161" t="s">
        <v>79</v>
      </c>
      <c r="B161" s="1">
        <v>46181</v>
      </c>
      <c r="C161" s="2">
        <v>0.87083333333333335</v>
      </c>
      <c r="D161" t="s">
        <v>349</v>
      </c>
      <c r="E161">
        <v>29765</v>
      </c>
      <c r="F161" t="s">
        <v>172</v>
      </c>
      <c r="G161" t="s">
        <v>40</v>
      </c>
      <c r="H161">
        <v>3</v>
      </c>
      <c r="I161" t="s">
        <v>67</v>
      </c>
      <c r="J161" t="s">
        <v>584</v>
      </c>
      <c r="K161" t="s">
        <v>526</v>
      </c>
      <c r="L161" t="s">
        <v>412</v>
      </c>
      <c r="M161" t="s">
        <v>583</v>
      </c>
      <c r="N161">
        <v>2</v>
      </c>
      <c r="O161" t="b">
        <v>0</v>
      </c>
      <c r="P161" t="s">
        <v>26</v>
      </c>
      <c r="Q161" t="s">
        <v>27</v>
      </c>
      <c r="T161" t="s">
        <v>28</v>
      </c>
      <c r="U161" s="4">
        <f t="shared" si="5"/>
        <v>46181</v>
      </c>
    </row>
    <row r="162" spans="1:21" x14ac:dyDescent="0.25">
      <c r="A162" t="s">
        <v>202</v>
      </c>
      <c r="B162" s="1">
        <v>46181</v>
      </c>
      <c r="C162" s="2">
        <v>0.83402777777777781</v>
      </c>
      <c r="D162" t="s">
        <v>388</v>
      </c>
      <c r="E162">
        <v>29981</v>
      </c>
      <c r="F162" t="s">
        <v>268</v>
      </c>
      <c r="G162" t="s">
        <v>31</v>
      </c>
      <c r="H162">
        <v>4</v>
      </c>
      <c r="I162" t="s">
        <v>74</v>
      </c>
      <c r="J162" t="s">
        <v>100</v>
      </c>
      <c r="K162" t="s">
        <v>287</v>
      </c>
      <c r="L162" t="s">
        <v>497</v>
      </c>
      <c r="M162" t="s">
        <v>518</v>
      </c>
      <c r="N162">
        <v>3</v>
      </c>
      <c r="O162" t="b">
        <v>0</v>
      </c>
      <c r="P162" t="s">
        <v>26</v>
      </c>
      <c r="Q162" t="s">
        <v>269</v>
      </c>
      <c r="R162" t="s">
        <v>45</v>
      </c>
      <c r="T162" t="s">
        <v>28</v>
      </c>
      <c r="U162" s="4">
        <f t="shared" si="5"/>
        <v>46181</v>
      </c>
    </row>
    <row r="163" spans="1:21" x14ac:dyDescent="0.25">
      <c r="A163" t="s">
        <v>86</v>
      </c>
      <c r="B163" s="1">
        <v>46181</v>
      </c>
      <c r="C163" s="2">
        <v>0.85347222222222219</v>
      </c>
      <c r="D163" t="s">
        <v>340</v>
      </c>
      <c r="E163">
        <v>30237</v>
      </c>
      <c r="F163" t="s">
        <v>155</v>
      </c>
      <c r="G163" t="s">
        <v>23</v>
      </c>
      <c r="H163">
        <v>4</v>
      </c>
      <c r="I163" t="s">
        <v>57</v>
      </c>
      <c r="J163" t="s">
        <v>100</v>
      </c>
      <c r="K163" t="s">
        <v>101</v>
      </c>
      <c r="L163" t="s">
        <v>447</v>
      </c>
      <c r="M163" t="s">
        <v>583</v>
      </c>
      <c r="N163">
        <v>1</v>
      </c>
      <c r="O163" t="b">
        <v>0</v>
      </c>
      <c r="P163" t="s">
        <v>26</v>
      </c>
      <c r="Q163" t="s">
        <v>27</v>
      </c>
      <c r="T163" t="s">
        <v>28</v>
      </c>
      <c r="U163" s="4">
        <f t="shared" si="5"/>
        <v>46181</v>
      </c>
    </row>
    <row r="164" spans="1:21" x14ac:dyDescent="0.25">
      <c r="A164" t="s">
        <v>89</v>
      </c>
      <c r="B164" s="1">
        <v>46181</v>
      </c>
      <c r="C164" s="2">
        <v>0.85347222222222219</v>
      </c>
      <c r="D164" t="s">
        <v>389</v>
      </c>
      <c r="E164">
        <v>29988</v>
      </c>
      <c r="F164" t="s">
        <v>274</v>
      </c>
      <c r="G164" t="s">
        <v>23</v>
      </c>
      <c r="H164">
        <v>3</v>
      </c>
      <c r="I164" t="s">
        <v>74</v>
      </c>
      <c r="J164" t="s">
        <v>100</v>
      </c>
      <c r="K164" t="s">
        <v>101</v>
      </c>
      <c r="L164" t="s">
        <v>498</v>
      </c>
      <c r="M164" t="s">
        <v>519</v>
      </c>
      <c r="N164">
        <v>1</v>
      </c>
      <c r="O164" t="b">
        <v>0</v>
      </c>
      <c r="P164" t="s">
        <v>26</v>
      </c>
      <c r="Q164" t="s">
        <v>269</v>
      </c>
      <c r="R164" t="s">
        <v>45</v>
      </c>
      <c r="T164" t="s">
        <v>28</v>
      </c>
      <c r="U164" s="4">
        <f t="shared" si="5"/>
        <v>46181</v>
      </c>
    </row>
    <row r="165" spans="1:21" x14ac:dyDescent="0.25">
      <c r="A165" t="s">
        <v>83</v>
      </c>
      <c r="B165" s="1">
        <v>46181</v>
      </c>
      <c r="C165" s="2">
        <v>0.82499999999999996</v>
      </c>
      <c r="D165" t="s">
        <v>370</v>
      </c>
      <c r="E165">
        <v>30248</v>
      </c>
      <c r="F165" t="s">
        <v>210</v>
      </c>
      <c r="G165" t="s">
        <v>23</v>
      </c>
      <c r="H165">
        <v>4</v>
      </c>
      <c r="I165" t="s">
        <v>32</v>
      </c>
      <c r="J165" t="s">
        <v>100</v>
      </c>
      <c r="K165" t="s">
        <v>286</v>
      </c>
      <c r="L165" t="s">
        <v>499</v>
      </c>
      <c r="M165" t="s">
        <v>583</v>
      </c>
      <c r="N165">
        <v>1</v>
      </c>
      <c r="O165" t="b">
        <v>0</v>
      </c>
      <c r="P165" t="s">
        <v>26</v>
      </c>
      <c r="Q165" t="s">
        <v>27</v>
      </c>
      <c r="T165" t="s">
        <v>28</v>
      </c>
      <c r="U165" s="4">
        <f t="shared" si="5"/>
        <v>46181</v>
      </c>
    </row>
    <row r="166" spans="1:21" x14ac:dyDescent="0.25">
      <c r="A166" t="s">
        <v>83</v>
      </c>
      <c r="B166" s="1">
        <v>46181</v>
      </c>
      <c r="C166" s="2">
        <v>0.88194444444444442</v>
      </c>
      <c r="D166" t="s">
        <v>390</v>
      </c>
      <c r="E166">
        <v>28800</v>
      </c>
      <c r="F166" t="s">
        <v>275</v>
      </c>
      <c r="G166" t="s">
        <v>160</v>
      </c>
      <c r="H166">
        <v>2</v>
      </c>
      <c r="I166" t="s">
        <v>32</v>
      </c>
      <c r="J166" t="s">
        <v>584</v>
      </c>
      <c r="K166" t="s">
        <v>527</v>
      </c>
      <c r="L166" t="s">
        <v>500</v>
      </c>
      <c r="M166" t="s">
        <v>520</v>
      </c>
      <c r="N166" t="s">
        <v>63</v>
      </c>
      <c r="O166" t="b">
        <v>0</v>
      </c>
      <c r="P166" t="s">
        <v>26</v>
      </c>
      <c r="Q166" t="s">
        <v>44</v>
      </c>
      <c r="R166" t="s">
        <v>45</v>
      </c>
      <c r="T166" t="s">
        <v>28</v>
      </c>
      <c r="U166" s="4">
        <f t="shared" si="5"/>
        <v>46181</v>
      </c>
    </row>
    <row r="167" spans="1:21" x14ac:dyDescent="0.25">
      <c r="A167" t="s">
        <v>143</v>
      </c>
      <c r="B167" s="1">
        <v>46181</v>
      </c>
      <c r="C167" s="2">
        <v>0.83402777777777781</v>
      </c>
      <c r="D167" t="s">
        <v>391</v>
      </c>
      <c r="E167">
        <v>29965</v>
      </c>
      <c r="F167" t="s">
        <v>277</v>
      </c>
      <c r="G167" t="s">
        <v>40</v>
      </c>
      <c r="H167">
        <v>4</v>
      </c>
      <c r="I167" t="s">
        <v>32</v>
      </c>
      <c r="J167" t="s">
        <v>100</v>
      </c>
      <c r="K167" t="s">
        <v>287</v>
      </c>
      <c r="L167" t="s">
        <v>501</v>
      </c>
      <c r="M167" t="s">
        <v>583</v>
      </c>
      <c r="N167">
        <v>2</v>
      </c>
      <c r="O167" t="b">
        <v>0</v>
      </c>
      <c r="P167" t="s">
        <v>26</v>
      </c>
      <c r="Q167" t="s">
        <v>38</v>
      </c>
      <c r="R167" t="s">
        <v>54</v>
      </c>
      <c r="T167" t="s">
        <v>28</v>
      </c>
      <c r="U167" s="4">
        <f t="shared" si="5"/>
        <v>46181</v>
      </c>
    </row>
    <row r="168" spans="1:21" x14ac:dyDescent="0.25">
      <c r="A168" t="s">
        <v>143</v>
      </c>
      <c r="B168" s="1">
        <v>46181</v>
      </c>
      <c r="C168" s="2">
        <v>0.8833333333333333</v>
      </c>
      <c r="D168" t="s">
        <v>352</v>
      </c>
      <c r="E168">
        <v>32386</v>
      </c>
      <c r="F168" t="s">
        <v>177</v>
      </c>
      <c r="G168" t="s">
        <v>23</v>
      </c>
      <c r="H168">
        <v>2</v>
      </c>
      <c r="I168" t="s">
        <v>32</v>
      </c>
      <c r="J168" t="s">
        <v>585</v>
      </c>
      <c r="K168" t="s">
        <v>173</v>
      </c>
      <c r="M168" t="s">
        <v>583</v>
      </c>
      <c r="N168">
        <v>1</v>
      </c>
      <c r="O168" t="b">
        <v>0</v>
      </c>
      <c r="P168" t="s">
        <v>26</v>
      </c>
      <c r="Q168" t="s">
        <v>162</v>
      </c>
      <c r="T168" t="s">
        <v>28</v>
      </c>
      <c r="U168" s="4">
        <f t="shared" si="5"/>
        <v>46181</v>
      </c>
    </row>
    <row r="169" spans="1:21" x14ac:dyDescent="0.25">
      <c r="A169" t="s">
        <v>278</v>
      </c>
      <c r="B169" s="1">
        <v>46181</v>
      </c>
      <c r="C169" s="2">
        <v>0.88263888888888886</v>
      </c>
      <c r="D169" t="s">
        <v>351</v>
      </c>
      <c r="E169">
        <v>29753</v>
      </c>
      <c r="F169" t="s">
        <v>176</v>
      </c>
      <c r="G169" t="s">
        <v>160</v>
      </c>
      <c r="H169">
        <v>2</v>
      </c>
      <c r="I169" t="s">
        <v>48</v>
      </c>
      <c r="J169" t="s">
        <v>585</v>
      </c>
      <c r="K169" t="s">
        <v>173</v>
      </c>
      <c r="L169" t="s">
        <v>492</v>
      </c>
      <c r="M169" t="s">
        <v>583</v>
      </c>
      <c r="N169" t="s">
        <v>63</v>
      </c>
      <c r="O169" t="b">
        <v>0</v>
      </c>
      <c r="P169" t="s">
        <v>26</v>
      </c>
      <c r="Q169" t="s">
        <v>27</v>
      </c>
      <c r="T169" t="s">
        <v>28</v>
      </c>
      <c r="U169" s="4">
        <f t="shared" si="5"/>
        <v>46181</v>
      </c>
    </row>
    <row r="170" spans="1:21" x14ac:dyDescent="0.25">
      <c r="A170" t="s">
        <v>278</v>
      </c>
      <c r="B170" s="1">
        <v>46181</v>
      </c>
      <c r="C170" s="2">
        <v>0.8833333333333333</v>
      </c>
      <c r="D170" t="s">
        <v>351</v>
      </c>
      <c r="E170">
        <v>29753</v>
      </c>
      <c r="F170" t="s">
        <v>176</v>
      </c>
      <c r="G170" t="s">
        <v>160</v>
      </c>
      <c r="H170">
        <v>0</v>
      </c>
      <c r="I170" t="s">
        <v>48</v>
      </c>
      <c r="J170" t="s">
        <v>585</v>
      </c>
      <c r="K170" t="s">
        <v>173</v>
      </c>
      <c r="L170" t="s">
        <v>492</v>
      </c>
      <c r="M170" t="s">
        <v>583</v>
      </c>
      <c r="N170" t="s">
        <v>63</v>
      </c>
      <c r="O170" t="b">
        <v>0</v>
      </c>
      <c r="P170" t="s">
        <v>26</v>
      </c>
      <c r="Q170" t="s">
        <v>27</v>
      </c>
      <c r="T170" t="s">
        <v>28</v>
      </c>
      <c r="U170" s="4">
        <f t="shared" si="5"/>
        <v>46181</v>
      </c>
    </row>
    <row r="171" spans="1:21" x14ac:dyDescent="0.25">
      <c r="A171" t="s">
        <v>163</v>
      </c>
      <c r="B171" s="1">
        <v>46181</v>
      </c>
      <c r="C171" s="2">
        <v>0.8256944444444444</v>
      </c>
      <c r="D171" t="s">
        <v>370</v>
      </c>
      <c r="E171">
        <v>30248</v>
      </c>
      <c r="F171" t="s">
        <v>210</v>
      </c>
      <c r="G171" t="s">
        <v>23</v>
      </c>
      <c r="H171">
        <v>4</v>
      </c>
      <c r="I171" t="s">
        <v>165</v>
      </c>
      <c r="J171" t="s">
        <v>100</v>
      </c>
      <c r="K171" t="s">
        <v>286</v>
      </c>
      <c r="L171" t="s">
        <v>502</v>
      </c>
      <c r="M171" t="s">
        <v>583</v>
      </c>
      <c r="N171">
        <v>1</v>
      </c>
      <c r="O171" t="b">
        <v>0</v>
      </c>
      <c r="P171" t="s">
        <v>26</v>
      </c>
      <c r="Q171" t="s">
        <v>27</v>
      </c>
      <c r="T171" t="s">
        <v>28</v>
      </c>
      <c r="U171" s="4">
        <f t="shared" si="5"/>
        <v>46181</v>
      </c>
    </row>
    <row r="172" spans="1:21" x14ac:dyDescent="0.25">
      <c r="A172" t="s">
        <v>163</v>
      </c>
      <c r="B172" s="1">
        <v>46181</v>
      </c>
      <c r="C172" s="2">
        <v>0.85416666666666663</v>
      </c>
      <c r="D172" t="s">
        <v>392</v>
      </c>
      <c r="E172">
        <v>29997</v>
      </c>
      <c r="F172" t="s">
        <v>280</v>
      </c>
      <c r="G172" t="s">
        <v>23</v>
      </c>
      <c r="H172">
        <v>5</v>
      </c>
      <c r="I172" t="s">
        <v>165</v>
      </c>
      <c r="J172" t="s">
        <v>100</v>
      </c>
      <c r="K172" t="s">
        <v>101</v>
      </c>
      <c r="L172" t="s">
        <v>489</v>
      </c>
      <c r="M172" t="s">
        <v>521</v>
      </c>
      <c r="N172">
        <v>1</v>
      </c>
      <c r="O172" t="b">
        <v>0</v>
      </c>
      <c r="P172" t="s">
        <v>26</v>
      </c>
      <c r="Q172" t="s">
        <v>41</v>
      </c>
      <c r="R172" t="s">
        <v>42</v>
      </c>
      <c r="T172" t="s">
        <v>28</v>
      </c>
      <c r="U172" s="4">
        <f t="shared" si="5"/>
        <v>46181</v>
      </c>
    </row>
    <row r="173" spans="1:21" x14ac:dyDescent="0.25">
      <c r="A173" t="s">
        <v>163</v>
      </c>
      <c r="B173" s="1">
        <v>46181</v>
      </c>
      <c r="C173" s="2">
        <v>0.85555555555555551</v>
      </c>
      <c r="D173" t="s">
        <v>393</v>
      </c>
      <c r="E173">
        <v>30236</v>
      </c>
      <c r="F173" t="s">
        <v>281</v>
      </c>
      <c r="G173" t="s">
        <v>23</v>
      </c>
      <c r="H173">
        <v>3</v>
      </c>
      <c r="I173" t="s">
        <v>165</v>
      </c>
      <c r="J173" t="s">
        <v>100</v>
      </c>
      <c r="K173" t="s">
        <v>101</v>
      </c>
      <c r="L173" t="s">
        <v>503</v>
      </c>
      <c r="M173" t="s">
        <v>583</v>
      </c>
      <c r="N173">
        <v>1</v>
      </c>
      <c r="O173" t="b">
        <v>0</v>
      </c>
      <c r="P173" t="s">
        <v>26</v>
      </c>
      <c r="Q173" t="s">
        <v>27</v>
      </c>
      <c r="T173" t="s">
        <v>28</v>
      </c>
      <c r="U173" s="4">
        <f t="shared" si="5"/>
        <v>46181</v>
      </c>
    </row>
    <row r="174" spans="1:21" x14ac:dyDescent="0.25">
      <c r="A174" t="s">
        <v>126</v>
      </c>
      <c r="B174" s="1">
        <v>46188</v>
      </c>
      <c r="C174" s="2">
        <v>0.86736111111111114</v>
      </c>
      <c r="D174" t="s">
        <v>543</v>
      </c>
      <c r="E174">
        <v>30102</v>
      </c>
      <c r="F174" t="s">
        <v>528</v>
      </c>
      <c r="G174" t="s">
        <v>31</v>
      </c>
      <c r="H174">
        <v>4</v>
      </c>
      <c r="I174" t="s">
        <v>57</v>
      </c>
      <c r="J174" t="s">
        <v>241</v>
      </c>
      <c r="K174" t="s">
        <v>52</v>
      </c>
      <c r="L174" t="s">
        <v>447</v>
      </c>
      <c r="M174" t="s">
        <v>583</v>
      </c>
      <c r="N174">
        <v>3</v>
      </c>
      <c r="O174" t="b">
        <v>0</v>
      </c>
      <c r="P174" t="s">
        <v>26</v>
      </c>
      <c r="Q174" t="s">
        <v>38</v>
      </c>
      <c r="R174" t="s">
        <v>35</v>
      </c>
      <c r="T174" t="s">
        <v>28</v>
      </c>
      <c r="U174" s="4">
        <f t="shared" si="5"/>
        <v>46188</v>
      </c>
    </row>
    <row r="175" spans="1:21" x14ac:dyDescent="0.25">
      <c r="A175" t="s">
        <v>126</v>
      </c>
      <c r="B175" s="1">
        <v>46188</v>
      </c>
      <c r="C175" s="2">
        <v>0.92361111111111116</v>
      </c>
      <c r="D175" t="s">
        <v>313</v>
      </c>
      <c r="E175">
        <v>30249</v>
      </c>
      <c r="F175" t="s">
        <v>110</v>
      </c>
      <c r="G175" t="s">
        <v>160</v>
      </c>
      <c r="H175">
        <v>0</v>
      </c>
      <c r="I175" t="s">
        <v>57</v>
      </c>
      <c r="J175" t="s">
        <v>100</v>
      </c>
      <c r="K175" t="s">
        <v>287</v>
      </c>
      <c r="L175" t="s">
        <v>427</v>
      </c>
      <c r="M175" t="s">
        <v>583</v>
      </c>
      <c r="N175" t="s">
        <v>63</v>
      </c>
      <c r="O175" t="b">
        <v>0</v>
      </c>
      <c r="P175" t="s">
        <v>26</v>
      </c>
      <c r="Q175" t="s">
        <v>27</v>
      </c>
      <c r="T175" t="s">
        <v>28</v>
      </c>
      <c r="U175" s="4">
        <f t="shared" si="5"/>
        <v>46188</v>
      </c>
    </row>
    <row r="176" spans="1:21" x14ac:dyDescent="0.25">
      <c r="A176" t="s">
        <v>89</v>
      </c>
      <c r="B176" s="1">
        <v>46188</v>
      </c>
      <c r="C176" s="2">
        <v>0.86388888888888893</v>
      </c>
      <c r="D176" t="s">
        <v>359</v>
      </c>
      <c r="E176">
        <v>30100</v>
      </c>
      <c r="F176" t="s">
        <v>245</v>
      </c>
      <c r="G176" t="s">
        <v>37</v>
      </c>
      <c r="H176">
        <v>4</v>
      </c>
      <c r="I176" t="s">
        <v>74</v>
      </c>
      <c r="J176" t="s">
        <v>241</v>
      </c>
      <c r="K176" t="s">
        <v>246</v>
      </c>
      <c r="L176" t="s">
        <v>554</v>
      </c>
      <c r="M176" t="s">
        <v>583</v>
      </c>
      <c r="N176">
        <v>4</v>
      </c>
      <c r="O176" t="b">
        <v>0</v>
      </c>
      <c r="P176" t="s">
        <v>26</v>
      </c>
      <c r="Q176" t="s">
        <v>112</v>
      </c>
      <c r="R176" t="s">
        <v>88</v>
      </c>
      <c r="T176" t="s">
        <v>28</v>
      </c>
      <c r="U176" s="4">
        <f t="shared" si="5"/>
        <v>46188</v>
      </c>
    </row>
    <row r="177" spans="1:21" x14ac:dyDescent="0.25">
      <c r="A177" t="s">
        <v>89</v>
      </c>
      <c r="B177" s="1">
        <v>46188</v>
      </c>
      <c r="C177" s="2">
        <v>0.86458333333333337</v>
      </c>
      <c r="D177" t="s">
        <v>544</v>
      </c>
      <c r="E177">
        <v>30075</v>
      </c>
      <c r="F177" t="s">
        <v>168</v>
      </c>
      <c r="G177" t="s">
        <v>37</v>
      </c>
      <c r="H177">
        <v>4</v>
      </c>
      <c r="I177" t="s">
        <v>74</v>
      </c>
      <c r="J177" t="s">
        <v>241</v>
      </c>
      <c r="K177" t="s">
        <v>249</v>
      </c>
      <c r="L177" t="s">
        <v>555</v>
      </c>
      <c r="M177" t="s">
        <v>583</v>
      </c>
      <c r="N177">
        <v>4</v>
      </c>
      <c r="O177" t="b">
        <v>0</v>
      </c>
      <c r="P177" t="s">
        <v>26</v>
      </c>
      <c r="Q177" t="s">
        <v>53</v>
      </c>
      <c r="R177" t="s">
        <v>35</v>
      </c>
      <c r="T177" t="s">
        <v>28</v>
      </c>
      <c r="U177" s="4">
        <f t="shared" si="5"/>
        <v>46188</v>
      </c>
    </row>
    <row r="178" spans="1:21" x14ac:dyDescent="0.25">
      <c r="A178" t="s">
        <v>529</v>
      </c>
      <c r="B178" s="1">
        <v>46188</v>
      </c>
      <c r="C178" s="2">
        <v>0.81388888888888888</v>
      </c>
      <c r="D178" t="s">
        <v>304</v>
      </c>
      <c r="E178">
        <v>30241</v>
      </c>
      <c r="F178" t="s">
        <v>22</v>
      </c>
      <c r="G178" t="s">
        <v>23</v>
      </c>
      <c r="H178">
        <v>3</v>
      </c>
      <c r="I178" t="s">
        <v>67</v>
      </c>
      <c r="J178" t="s">
        <v>241</v>
      </c>
      <c r="K178" t="s">
        <v>270</v>
      </c>
      <c r="L178" t="s">
        <v>556</v>
      </c>
      <c r="M178" t="s">
        <v>583</v>
      </c>
      <c r="N178">
        <v>1</v>
      </c>
      <c r="O178" t="b">
        <v>0</v>
      </c>
      <c r="P178" t="s">
        <v>26</v>
      </c>
      <c r="Q178" t="s">
        <v>27</v>
      </c>
      <c r="T178" t="s">
        <v>28</v>
      </c>
      <c r="U178" s="4">
        <f t="shared" si="5"/>
        <v>46188</v>
      </c>
    </row>
    <row r="179" spans="1:21" x14ac:dyDescent="0.25">
      <c r="A179" t="s">
        <v>529</v>
      </c>
      <c r="B179" s="1">
        <v>46188</v>
      </c>
      <c r="C179" s="2">
        <v>0.92500000000000004</v>
      </c>
      <c r="D179" t="s">
        <v>339</v>
      </c>
      <c r="E179">
        <v>29972</v>
      </c>
      <c r="F179" t="s">
        <v>154</v>
      </c>
      <c r="G179" t="s">
        <v>40</v>
      </c>
      <c r="H179">
        <v>3</v>
      </c>
      <c r="I179" t="s">
        <v>67</v>
      </c>
      <c r="J179" t="s">
        <v>100</v>
      </c>
      <c r="K179" t="s">
        <v>287</v>
      </c>
      <c r="L179" t="s">
        <v>557</v>
      </c>
      <c r="M179" t="s">
        <v>583</v>
      </c>
      <c r="N179">
        <v>2</v>
      </c>
      <c r="O179" t="b">
        <v>0</v>
      </c>
      <c r="P179" t="s">
        <v>26</v>
      </c>
      <c r="Q179" t="s">
        <v>112</v>
      </c>
      <c r="R179" t="s">
        <v>120</v>
      </c>
      <c r="T179" t="s">
        <v>28</v>
      </c>
      <c r="U179" s="4">
        <f t="shared" si="5"/>
        <v>46188</v>
      </c>
    </row>
    <row r="180" spans="1:21" x14ac:dyDescent="0.25">
      <c r="A180" t="s">
        <v>72</v>
      </c>
      <c r="B180" s="1">
        <v>46188</v>
      </c>
      <c r="C180" s="2">
        <v>0.92500000000000004</v>
      </c>
      <c r="D180" t="s">
        <v>545</v>
      </c>
      <c r="E180">
        <v>29921</v>
      </c>
      <c r="F180" t="s">
        <v>263</v>
      </c>
      <c r="G180" t="s">
        <v>160</v>
      </c>
      <c r="H180">
        <v>0</v>
      </c>
      <c r="I180" t="s">
        <v>74</v>
      </c>
      <c r="J180" t="s">
        <v>100</v>
      </c>
      <c r="K180" t="s">
        <v>287</v>
      </c>
      <c r="L180" t="s">
        <v>558</v>
      </c>
      <c r="M180" t="s">
        <v>583</v>
      </c>
      <c r="N180" t="s">
        <v>63</v>
      </c>
      <c r="O180" t="b">
        <v>0</v>
      </c>
      <c r="P180" t="s">
        <v>26</v>
      </c>
      <c r="Q180" t="s">
        <v>34</v>
      </c>
      <c r="R180" t="s">
        <v>35</v>
      </c>
      <c r="T180" t="s">
        <v>28</v>
      </c>
      <c r="U180" s="4">
        <f t="shared" si="5"/>
        <v>46188</v>
      </c>
    </row>
    <row r="181" spans="1:21" x14ac:dyDescent="0.25">
      <c r="A181" t="s">
        <v>21</v>
      </c>
      <c r="B181" s="1">
        <v>46188</v>
      </c>
      <c r="C181" s="2">
        <v>0.92361111111111116</v>
      </c>
      <c r="D181" t="s">
        <v>546</v>
      </c>
      <c r="E181">
        <v>30026</v>
      </c>
      <c r="F181" t="s">
        <v>158</v>
      </c>
      <c r="G181" t="s">
        <v>40</v>
      </c>
      <c r="H181">
        <v>3</v>
      </c>
      <c r="I181" t="s">
        <v>24</v>
      </c>
      <c r="J181" t="s">
        <v>100</v>
      </c>
      <c r="K181" t="s">
        <v>287</v>
      </c>
      <c r="L181" t="s">
        <v>559</v>
      </c>
      <c r="M181" t="s">
        <v>583</v>
      </c>
      <c r="N181">
        <v>2</v>
      </c>
      <c r="O181" t="b">
        <v>0</v>
      </c>
      <c r="P181" t="s">
        <v>26</v>
      </c>
      <c r="Q181" t="s">
        <v>34</v>
      </c>
      <c r="R181" t="s">
        <v>113</v>
      </c>
      <c r="T181" t="s">
        <v>28</v>
      </c>
      <c r="U181" s="4">
        <f t="shared" si="5"/>
        <v>46188</v>
      </c>
    </row>
    <row r="182" spans="1:21" x14ac:dyDescent="0.25">
      <c r="A182" t="s">
        <v>77</v>
      </c>
      <c r="B182" s="1">
        <v>46188</v>
      </c>
      <c r="C182" s="2">
        <v>0.80069444444444449</v>
      </c>
      <c r="D182" t="s">
        <v>332</v>
      </c>
      <c r="E182">
        <v>30060</v>
      </c>
      <c r="F182" t="s">
        <v>142</v>
      </c>
      <c r="G182" t="s">
        <v>37</v>
      </c>
      <c r="H182">
        <v>3</v>
      </c>
      <c r="I182" t="s">
        <v>51</v>
      </c>
      <c r="J182" t="s">
        <v>241</v>
      </c>
      <c r="K182" t="s">
        <v>260</v>
      </c>
      <c r="L182" t="s">
        <v>457</v>
      </c>
      <c r="M182" t="s">
        <v>583</v>
      </c>
      <c r="N182">
        <v>4</v>
      </c>
      <c r="O182" t="b">
        <v>0</v>
      </c>
      <c r="P182" t="s">
        <v>26</v>
      </c>
      <c r="Q182" t="s">
        <v>53</v>
      </c>
      <c r="R182" t="s">
        <v>88</v>
      </c>
      <c r="T182" t="s">
        <v>28</v>
      </c>
      <c r="U182" s="4">
        <f t="shared" si="5"/>
        <v>46188</v>
      </c>
    </row>
    <row r="183" spans="1:21" x14ac:dyDescent="0.25">
      <c r="A183" t="s">
        <v>79</v>
      </c>
      <c r="B183" s="1">
        <v>46188</v>
      </c>
      <c r="C183" s="2">
        <v>0.89513888888888893</v>
      </c>
      <c r="D183" t="s">
        <v>368</v>
      </c>
      <c r="E183">
        <v>29922</v>
      </c>
      <c r="F183" t="s">
        <v>208</v>
      </c>
      <c r="G183" t="s">
        <v>40</v>
      </c>
      <c r="H183">
        <v>5</v>
      </c>
      <c r="I183" t="s">
        <v>67</v>
      </c>
      <c r="J183" t="s">
        <v>100</v>
      </c>
      <c r="K183" t="s">
        <v>205</v>
      </c>
      <c r="L183" t="s">
        <v>489</v>
      </c>
      <c r="M183" t="s">
        <v>513</v>
      </c>
      <c r="N183">
        <v>2</v>
      </c>
      <c r="O183" t="b">
        <v>0</v>
      </c>
      <c r="P183" t="s">
        <v>26</v>
      </c>
      <c r="Q183" t="s">
        <v>41</v>
      </c>
      <c r="R183" t="s">
        <v>42</v>
      </c>
      <c r="T183" t="s">
        <v>28</v>
      </c>
      <c r="U183" s="4">
        <f t="shared" si="5"/>
        <v>46188</v>
      </c>
    </row>
    <row r="184" spans="1:21" x14ac:dyDescent="0.25">
      <c r="A184" t="s">
        <v>79</v>
      </c>
      <c r="B184" s="1">
        <v>46188</v>
      </c>
      <c r="C184" s="2">
        <v>0.90208333333333335</v>
      </c>
      <c r="D184" t="s">
        <v>382</v>
      </c>
      <c r="E184">
        <v>29986</v>
      </c>
      <c r="F184" t="s">
        <v>243</v>
      </c>
      <c r="G184" t="s">
        <v>40</v>
      </c>
      <c r="H184">
        <v>4</v>
      </c>
      <c r="I184" t="s">
        <v>67</v>
      </c>
      <c r="J184" t="s">
        <v>100</v>
      </c>
      <c r="K184" t="s">
        <v>286</v>
      </c>
      <c r="L184" t="s">
        <v>560</v>
      </c>
      <c r="M184" t="s">
        <v>583</v>
      </c>
      <c r="N184">
        <v>2</v>
      </c>
      <c r="O184" t="b">
        <v>0</v>
      </c>
      <c r="P184" t="s">
        <v>26</v>
      </c>
      <c r="Q184" t="s">
        <v>112</v>
      </c>
      <c r="R184" t="s">
        <v>109</v>
      </c>
      <c r="T184" t="s">
        <v>28</v>
      </c>
      <c r="U184" s="4">
        <f t="shared" si="5"/>
        <v>46188</v>
      </c>
    </row>
    <row r="185" spans="1:21" x14ac:dyDescent="0.25">
      <c r="A185" t="s">
        <v>202</v>
      </c>
      <c r="B185" s="1">
        <v>46188</v>
      </c>
      <c r="C185" s="2">
        <v>0.80069444444444449</v>
      </c>
      <c r="D185" t="s">
        <v>330</v>
      </c>
      <c r="E185">
        <v>32516</v>
      </c>
      <c r="F185" t="s">
        <v>139</v>
      </c>
      <c r="G185" t="s">
        <v>40</v>
      </c>
      <c r="H185">
        <v>3</v>
      </c>
      <c r="I185" t="s">
        <v>74</v>
      </c>
      <c r="J185" t="s">
        <v>241</v>
      </c>
      <c r="K185" t="s">
        <v>260</v>
      </c>
      <c r="L185" t="s">
        <v>561</v>
      </c>
      <c r="M185" t="s">
        <v>583</v>
      </c>
      <c r="N185">
        <v>2</v>
      </c>
      <c r="O185" t="b">
        <v>0</v>
      </c>
      <c r="P185" t="s">
        <v>26</v>
      </c>
      <c r="Q185" t="s">
        <v>112</v>
      </c>
      <c r="R185" t="s">
        <v>113</v>
      </c>
      <c r="T185" t="s">
        <v>28</v>
      </c>
      <c r="U185" s="4">
        <f t="shared" si="5"/>
        <v>46188</v>
      </c>
    </row>
    <row r="186" spans="1:21" x14ac:dyDescent="0.25">
      <c r="A186" t="s">
        <v>202</v>
      </c>
      <c r="B186" s="1">
        <v>46188</v>
      </c>
      <c r="C186" s="2">
        <v>0.81319444444444444</v>
      </c>
      <c r="D186" t="s">
        <v>301</v>
      </c>
      <c r="E186">
        <v>30097</v>
      </c>
      <c r="F186" t="s">
        <v>75</v>
      </c>
      <c r="G186" t="s">
        <v>40</v>
      </c>
      <c r="H186">
        <v>4</v>
      </c>
      <c r="I186" t="s">
        <v>74</v>
      </c>
      <c r="J186" t="s">
        <v>241</v>
      </c>
      <c r="K186" t="s">
        <v>270</v>
      </c>
      <c r="L186" t="s">
        <v>562</v>
      </c>
      <c r="M186" t="s">
        <v>583</v>
      </c>
      <c r="N186">
        <v>2</v>
      </c>
      <c r="O186" t="b">
        <v>0</v>
      </c>
      <c r="P186" t="s">
        <v>26</v>
      </c>
      <c r="Q186" t="s">
        <v>34</v>
      </c>
      <c r="R186" t="s">
        <v>76</v>
      </c>
      <c r="T186" t="s">
        <v>28</v>
      </c>
      <c r="U186" s="4">
        <f t="shared" si="5"/>
        <v>46188</v>
      </c>
    </row>
    <row r="187" spans="1:21" x14ac:dyDescent="0.25">
      <c r="A187" t="s">
        <v>202</v>
      </c>
      <c r="B187" s="1">
        <v>46188</v>
      </c>
      <c r="C187" s="2">
        <v>0.92500000000000004</v>
      </c>
      <c r="D187" t="s">
        <v>547</v>
      </c>
      <c r="E187">
        <v>29990</v>
      </c>
      <c r="F187" t="s">
        <v>530</v>
      </c>
      <c r="G187" t="s">
        <v>31</v>
      </c>
      <c r="H187">
        <v>4</v>
      </c>
      <c r="I187" t="s">
        <v>74</v>
      </c>
      <c r="J187" t="s">
        <v>100</v>
      </c>
      <c r="K187" t="s">
        <v>101</v>
      </c>
      <c r="L187" t="s">
        <v>563</v>
      </c>
      <c r="M187" t="s">
        <v>583</v>
      </c>
      <c r="N187">
        <v>3</v>
      </c>
      <c r="O187" t="b">
        <v>0</v>
      </c>
      <c r="P187" t="s">
        <v>26</v>
      </c>
      <c r="Q187" t="s">
        <v>112</v>
      </c>
      <c r="R187" t="s">
        <v>109</v>
      </c>
      <c r="T187" t="s">
        <v>28</v>
      </c>
      <c r="U187" s="4">
        <f t="shared" si="5"/>
        <v>46188</v>
      </c>
    </row>
    <row r="188" spans="1:21" x14ac:dyDescent="0.25">
      <c r="A188" t="s">
        <v>153</v>
      </c>
      <c r="B188" s="1">
        <v>46188</v>
      </c>
      <c r="C188" s="2">
        <v>0.80069444444444449</v>
      </c>
      <c r="D188" t="s">
        <v>548</v>
      </c>
      <c r="E188">
        <v>30064</v>
      </c>
      <c r="F188" t="s">
        <v>531</v>
      </c>
      <c r="G188" t="s">
        <v>23</v>
      </c>
      <c r="H188">
        <v>5</v>
      </c>
      <c r="I188" t="s">
        <v>67</v>
      </c>
      <c r="J188" t="s">
        <v>241</v>
      </c>
      <c r="K188" t="s">
        <v>260</v>
      </c>
      <c r="L188" t="s">
        <v>354</v>
      </c>
      <c r="M188" t="s">
        <v>583</v>
      </c>
      <c r="N188">
        <v>1</v>
      </c>
      <c r="O188" t="b">
        <v>0</v>
      </c>
      <c r="P188" t="s">
        <v>26</v>
      </c>
      <c r="Q188" t="s">
        <v>112</v>
      </c>
      <c r="R188" t="s">
        <v>54</v>
      </c>
      <c r="T188" t="s">
        <v>28</v>
      </c>
      <c r="U188" s="4">
        <f t="shared" si="5"/>
        <v>46188</v>
      </c>
    </row>
    <row r="189" spans="1:21" x14ac:dyDescent="0.25">
      <c r="A189" t="s">
        <v>153</v>
      </c>
      <c r="B189" s="1">
        <v>46188</v>
      </c>
      <c r="C189" s="2">
        <v>0.86458333333333337</v>
      </c>
      <c r="D189" t="s">
        <v>308</v>
      </c>
      <c r="E189">
        <v>30720</v>
      </c>
      <c r="F189" t="s">
        <v>94</v>
      </c>
      <c r="G189" t="s">
        <v>23</v>
      </c>
      <c r="H189">
        <v>4</v>
      </c>
      <c r="I189" t="s">
        <v>67</v>
      </c>
      <c r="J189" t="s">
        <v>241</v>
      </c>
      <c r="K189" t="s">
        <v>249</v>
      </c>
      <c r="L189" t="s">
        <v>564</v>
      </c>
      <c r="M189" t="s">
        <v>507</v>
      </c>
      <c r="N189">
        <v>1</v>
      </c>
      <c r="O189" t="b">
        <v>0</v>
      </c>
      <c r="P189" t="s">
        <v>26</v>
      </c>
      <c r="Q189" t="s">
        <v>41</v>
      </c>
      <c r="R189" t="s">
        <v>49</v>
      </c>
      <c r="T189" t="s">
        <v>28</v>
      </c>
      <c r="U189" s="4">
        <f t="shared" si="5"/>
        <v>46188</v>
      </c>
    </row>
    <row r="190" spans="1:21" x14ac:dyDescent="0.25">
      <c r="A190" t="s">
        <v>153</v>
      </c>
      <c r="B190" s="1">
        <v>46188</v>
      </c>
      <c r="C190" s="2">
        <v>0.86527777777777781</v>
      </c>
      <c r="D190" t="s">
        <v>305</v>
      </c>
      <c r="E190">
        <v>30244</v>
      </c>
      <c r="F190" t="s">
        <v>70</v>
      </c>
      <c r="G190" t="s">
        <v>23</v>
      </c>
      <c r="H190">
        <v>3</v>
      </c>
      <c r="I190" t="s">
        <v>67</v>
      </c>
      <c r="J190" t="s">
        <v>241</v>
      </c>
      <c r="K190" t="s">
        <v>52</v>
      </c>
      <c r="L190" t="s">
        <v>565</v>
      </c>
      <c r="M190" t="s">
        <v>583</v>
      </c>
      <c r="N190">
        <v>1</v>
      </c>
      <c r="O190" t="b">
        <v>0</v>
      </c>
      <c r="P190" t="s">
        <v>26</v>
      </c>
      <c r="Q190" t="s">
        <v>27</v>
      </c>
      <c r="S190" t="s">
        <v>532</v>
      </c>
      <c r="T190" t="s">
        <v>28</v>
      </c>
      <c r="U190" s="4">
        <f t="shared" si="5"/>
        <v>46188</v>
      </c>
    </row>
    <row r="191" spans="1:21" x14ac:dyDescent="0.25">
      <c r="A191" t="s">
        <v>104</v>
      </c>
      <c r="B191" s="1">
        <v>46188</v>
      </c>
      <c r="C191" s="2">
        <v>0.86388888888888893</v>
      </c>
      <c r="D191" t="s">
        <v>300</v>
      </c>
      <c r="E191">
        <v>30247</v>
      </c>
      <c r="F191" t="s">
        <v>140</v>
      </c>
      <c r="G191" t="s">
        <v>23</v>
      </c>
      <c r="H191">
        <v>4</v>
      </c>
      <c r="I191" t="s">
        <v>24</v>
      </c>
      <c r="J191" t="s">
        <v>241</v>
      </c>
      <c r="K191" t="s">
        <v>246</v>
      </c>
      <c r="L191" t="s">
        <v>566</v>
      </c>
      <c r="M191" t="s">
        <v>583</v>
      </c>
      <c r="N191">
        <v>1</v>
      </c>
      <c r="O191" t="b">
        <v>0</v>
      </c>
      <c r="P191" t="s">
        <v>26</v>
      </c>
      <c r="Q191" t="s">
        <v>27</v>
      </c>
      <c r="S191" t="s">
        <v>533</v>
      </c>
      <c r="T191" t="s">
        <v>28</v>
      </c>
      <c r="U191" s="4">
        <f t="shared" si="5"/>
        <v>46188</v>
      </c>
    </row>
    <row r="192" spans="1:21" x14ac:dyDescent="0.25">
      <c r="A192" t="s">
        <v>104</v>
      </c>
      <c r="B192" s="1">
        <v>46188</v>
      </c>
      <c r="C192" s="2">
        <v>0.92361111111111116</v>
      </c>
      <c r="D192" t="s">
        <v>337</v>
      </c>
      <c r="E192">
        <v>29951</v>
      </c>
      <c r="F192" t="s">
        <v>151</v>
      </c>
      <c r="G192" t="s">
        <v>23</v>
      </c>
      <c r="H192">
        <v>4</v>
      </c>
      <c r="I192" t="s">
        <v>24</v>
      </c>
      <c r="J192" t="s">
        <v>100</v>
      </c>
      <c r="K192" t="s">
        <v>287</v>
      </c>
      <c r="L192" t="s">
        <v>567</v>
      </c>
      <c r="M192" t="s">
        <v>583</v>
      </c>
      <c r="N192">
        <v>1</v>
      </c>
      <c r="O192" t="b">
        <v>0</v>
      </c>
      <c r="P192" t="s">
        <v>26</v>
      </c>
      <c r="Q192" t="s">
        <v>34</v>
      </c>
      <c r="R192" t="s">
        <v>88</v>
      </c>
      <c r="S192" t="s">
        <v>534</v>
      </c>
      <c r="T192" t="s">
        <v>28</v>
      </c>
      <c r="U192" s="4">
        <f t="shared" si="5"/>
        <v>46188</v>
      </c>
    </row>
    <row r="193" spans="1:21" x14ac:dyDescent="0.25">
      <c r="A193" t="s">
        <v>104</v>
      </c>
      <c r="B193" s="1">
        <v>46188</v>
      </c>
      <c r="C193" s="2">
        <v>0.92569444444444449</v>
      </c>
      <c r="D193" t="s">
        <v>549</v>
      </c>
      <c r="E193">
        <v>29994</v>
      </c>
      <c r="F193" t="s">
        <v>535</v>
      </c>
      <c r="G193" t="s">
        <v>23</v>
      </c>
      <c r="H193">
        <v>4</v>
      </c>
      <c r="I193" t="s">
        <v>24</v>
      </c>
      <c r="J193" t="s">
        <v>100</v>
      </c>
      <c r="K193" t="s">
        <v>101</v>
      </c>
      <c r="L193" t="s">
        <v>568</v>
      </c>
      <c r="M193" t="s">
        <v>583</v>
      </c>
      <c r="N193">
        <v>1</v>
      </c>
      <c r="O193" t="b">
        <v>0</v>
      </c>
      <c r="P193" t="s">
        <v>26</v>
      </c>
      <c r="Q193" t="s">
        <v>112</v>
      </c>
      <c r="R193" t="s">
        <v>147</v>
      </c>
      <c r="S193" t="s">
        <v>536</v>
      </c>
      <c r="T193" t="s">
        <v>28</v>
      </c>
      <c r="U193" s="4">
        <f t="shared" si="5"/>
        <v>46188</v>
      </c>
    </row>
    <row r="194" spans="1:21" x14ac:dyDescent="0.25">
      <c r="A194" t="s">
        <v>83</v>
      </c>
      <c r="B194" s="1">
        <v>46188</v>
      </c>
      <c r="C194" s="2">
        <v>0.79305555555555551</v>
      </c>
      <c r="D194" t="s">
        <v>375</v>
      </c>
      <c r="E194">
        <v>30022</v>
      </c>
      <c r="F194" t="s">
        <v>266</v>
      </c>
      <c r="G194" t="s">
        <v>37</v>
      </c>
      <c r="H194">
        <v>3</v>
      </c>
      <c r="I194" t="s">
        <v>32</v>
      </c>
      <c r="J194" t="s">
        <v>241</v>
      </c>
      <c r="K194" t="s">
        <v>523</v>
      </c>
      <c r="L194" t="s">
        <v>569</v>
      </c>
      <c r="M194" t="s">
        <v>583</v>
      </c>
      <c r="N194">
        <v>4</v>
      </c>
      <c r="O194" t="b">
        <v>0</v>
      </c>
      <c r="P194" t="s">
        <v>26</v>
      </c>
      <c r="Q194" t="s">
        <v>41</v>
      </c>
      <c r="R194" t="s">
        <v>68</v>
      </c>
      <c r="T194" t="s">
        <v>28</v>
      </c>
      <c r="U194" s="4">
        <f t="shared" si="5"/>
        <v>46188</v>
      </c>
    </row>
    <row r="195" spans="1:21" x14ac:dyDescent="0.25">
      <c r="A195" t="s">
        <v>83</v>
      </c>
      <c r="B195" s="1">
        <v>46188</v>
      </c>
      <c r="C195" s="2">
        <v>0.81388888888888888</v>
      </c>
      <c r="D195" t="s">
        <v>358</v>
      </c>
      <c r="E195">
        <v>30027</v>
      </c>
      <c r="F195" t="s">
        <v>188</v>
      </c>
      <c r="G195" t="s">
        <v>160</v>
      </c>
      <c r="H195">
        <v>2</v>
      </c>
      <c r="I195" t="s">
        <v>32</v>
      </c>
      <c r="J195" t="s">
        <v>241</v>
      </c>
      <c r="K195" t="s">
        <v>260</v>
      </c>
      <c r="L195" t="s">
        <v>315</v>
      </c>
      <c r="M195" t="s">
        <v>583</v>
      </c>
      <c r="N195" t="s">
        <v>63</v>
      </c>
      <c r="O195" t="b">
        <v>0</v>
      </c>
      <c r="P195" t="s">
        <v>26</v>
      </c>
      <c r="Q195" t="s">
        <v>38</v>
      </c>
      <c r="R195" t="s">
        <v>88</v>
      </c>
      <c r="T195" t="s">
        <v>28</v>
      </c>
      <c r="U195" s="4">
        <f t="shared" si="5"/>
        <v>46188</v>
      </c>
    </row>
    <row r="196" spans="1:21" x14ac:dyDescent="0.25">
      <c r="A196" t="s">
        <v>28</v>
      </c>
      <c r="B196" s="1">
        <v>46188</v>
      </c>
      <c r="C196" s="2">
        <v>0.86944444444444446</v>
      </c>
      <c r="D196" t="s">
        <v>550</v>
      </c>
      <c r="E196">
        <v>30243</v>
      </c>
      <c r="F196" t="s">
        <v>537</v>
      </c>
      <c r="G196" t="s">
        <v>23</v>
      </c>
      <c r="H196">
        <v>3</v>
      </c>
      <c r="I196" t="s">
        <v>51</v>
      </c>
      <c r="J196" t="s">
        <v>241</v>
      </c>
      <c r="K196" t="s">
        <v>52</v>
      </c>
      <c r="L196" t="s">
        <v>570</v>
      </c>
      <c r="M196" t="s">
        <v>583</v>
      </c>
      <c r="N196">
        <v>1</v>
      </c>
      <c r="O196" t="b">
        <v>0</v>
      </c>
      <c r="P196" t="s">
        <v>26</v>
      </c>
      <c r="Q196" t="s">
        <v>27</v>
      </c>
      <c r="T196" t="s">
        <v>28</v>
      </c>
      <c r="U196" s="4">
        <f t="shared" si="5"/>
        <v>46188</v>
      </c>
    </row>
    <row r="197" spans="1:21" x14ac:dyDescent="0.25">
      <c r="A197" t="s">
        <v>97</v>
      </c>
      <c r="B197" s="1">
        <v>46188</v>
      </c>
      <c r="C197" s="2">
        <v>0.92638888888888893</v>
      </c>
      <c r="D197" t="s">
        <v>344</v>
      </c>
      <c r="E197">
        <v>32405</v>
      </c>
      <c r="F197" t="s">
        <v>161</v>
      </c>
      <c r="G197" t="s">
        <v>23</v>
      </c>
      <c r="H197">
        <v>3</v>
      </c>
      <c r="I197" t="s">
        <v>71</v>
      </c>
      <c r="J197" t="s">
        <v>100</v>
      </c>
      <c r="K197" t="s">
        <v>101</v>
      </c>
      <c r="M197" t="s">
        <v>583</v>
      </c>
      <c r="N197">
        <v>1</v>
      </c>
      <c r="O197" t="b">
        <v>0</v>
      </c>
      <c r="P197" t="s">
        <v>26</v>
      </c>
      <c r="Q197" t="s">
        <v>162</v>
      </c>
      <c r="T197" t="s">
        <v>28</v>
      </c>
      <c r="U197" s="4">
        <f t="shared" si="5"/>
        <v>46188</v>
      </c>
    </row>
    <row r="198" spans="1:21" x14ac:dyDescent="0.25">
      <c r="A198" t="s">
        <v>55</v>
      </c>
      <c r="B198" s="1">
        <v>46188</v>
      </c>
      <c r="C198" s="2">
        <v>0.92361111111111116</v>
      </c>
      <c r="D198" t="s">
        <v>313</v>
      </c>
      <c r="E198">
        <v>30249</v>
      </c>
      <c r="F198" t="s">
        <v>110</v>
      </c>
      <c r="G198" t="s">
        <v>160</v>
      </c>
      <c r="H198">
        <v>4</v>
      </c>
      <c r="I198" t="s">
        <v>57</v>
      </c>
      <c r="J198" t="s">
        <v>100</v>
      </c>
      <c r="K198" t="s">
        <v>287</v>
      </c>
      <c r="L198" t="s">
        <v>571</v>
      </c>
      <c r="M198" t="s">
        <v>583</v>
      </c>
      <c r="N198" t="s">
        <v>63</v>
      </c>
      <c r="O198" t="b">
        <v>0</v>
      </c>
      <c r="P198" t="s">
        <v>26</v>
      </c>
      <c r="Q198" t="s">
        <v>27</v>
      </c>
      <c r="T198" t="s">
        <v>28</v>
      </c>
      <c r="U198" s="4">
        <f t="shared" si="5"/>
        <v>46188</v>
      </c>
    </row>
    <row r="199" spans="1:21" x14ac:dyDescent="0.25">
      <c r="A199" t="s">
        <v>163</v>
      </c>
      <c r="B199" s="1">
        <v>46188</v>
      </c>
      <c r="C199" s="2">
        <v>0.80069444444444449</v>
      </c>
      <c r="D199" t="s">
        <v>303</v>
      </c>
      <c r="E199">
        <v>30052</v>
      </c>
      <c r="F199" t="s">
        <v>81</v>
      </c>
      <c r="G199" t="s">
        <v>23</v>
      </c>
      <c r="H199">
        <v>3</v>
      </c>
      <c r="I199" t="s">
        <v>165</v>
      </c>
      <c r="J199" t="s">
        <v>241</v>
      </c>
      <c r="K199" t="s">
        <v>260</v>
      </c>
      <c r="L199" t="s">
        <v>521</v>
      </c>
      <c r="M199" t="s">
        <v>392</v>
      </c>
      <c r="N199">
        <v>1</v>
      </c>
      <c r="O199" t="b">
        <v>0</v>
      </c>
      <c r="P199" t="s">
        <v>26</v>
      </c>
      <c r="Q199" t="s">
        <v>41</v>
      </c>
      <c r="R199" t="s">
        <v>42</v>
      </c>
      <c r="T199" t="s">
        <v>28</v>
      </c>
      <c r="U199" s="4">
        <f t="shared" si="5"/>
        <v>46188</v>
      </c>
    </row>
    <row r="200" spans="1:21" x14ac:dyDescent="0.25">
      <c r="A200" t="s">
        <v>143</v>
      </c>
      <c r="B200" s="1">
        <v>46188</v>
      </c>
      <c r="C200" s="2">
        <v>0.79861111111111116</v>
      </c>
      <c r="D200" t="s">
        <v>551</v>
      </c>
      <c r="E200">
        <v>30065</v>
      </c>
      <c r="F200" t="s">
        <v>36</v>
      </c>
      <c r="G200" t="s">
        <v>40</v>
      </c>
      <c r="H200">
        <v>4</v>
      </c>
      <c r="I200" t="s">
        <v>32</v>
      </c>
      <c r="J200" t="s">
        <v>241</v>
      </c>
      <c r="K200" t="s">
        <v>260</v>
      </c>
      <c r="L200" t="s">
        <v>544</v>
      </c>
      <c r="M200" t="s">
        <v>583</v>
      </c>
      <c r="N200">
        <v>2</v>
      </c>
      <c r="O200" t="b">
        <v>0</v>
      </c>
      <c r="P200" t="s">
        <v>26</v>
      </c>
      <c r="Q200" t="s">
        <v>38</v>
      </c>
      <c r="R200" t="s">
        <v>35</v>
      </c>
      <c r="T200" t="s">
        <v>28</v>
      </c>
      <c r="U200" s="4">
        <f t="shared" si="5"/>
        <v>46188</v>
      </c>
    </row>
    <row r="201" spans="1:21" x14ac:dyDescent="0.25">
      <c r="A201" t="s">
        <v>143</v>
      </c>
      <c r="B201" s="1">
        <v>46188</v>
      </c>
      <c r="C201" s="2">
        <v>0.92361111111111116</v>
      </c>
      <c r="D201" t="s">
        <v>320</v>
      </c>
      <c r="E201">
        <v>30248</v>
      </c>
      <c r="F201" t="s">
        <v>210</v>
      </c>
      <c r="G201" t="s">
        <v>23</v>
      </c>
      <c r="H201">
        <v>4</v>
      </c>
      <c r="I201" t="s">
        <v>32</v>
      </c>
      <c r="J201" t="s">
        <v>100</v>
      </c>
      <c r="K201" t="s">
        <v>287</v>
      </c>
      <c r="L201" t="s">
        <v>572</v>
      </c>
      <c r="M201" t="s">
        <v>583</v>
      </c>
      <c r="N201">
        <v>1</v>
      </c>
      <c r="O201" t="b">
        <v>0</v>
      </c>
      <c r="P201" t="s">
        <v>26</v>
      </c>
      <c r="Q201" t="s">
        <v>27</v>
      </c>
      <c r="S201" t="s">
        <v>538</v>
      </c>
      <c r="T201" t="s">
        <v>28</v>
      </c>
      <c r="U201" s="4">
        <f t="shared" si="5"/>
        <v>46188</v>
      </c>
    </row>
    <row r="202" spans="1:21" x14ac:dyDescent="0.25">
      <c r="A202" t="s">
        <v>65</v>
      </c>
      <c r="B202" s="1">
        <v>46188</v>
      </c>
      <c r="C202" s="2">
        <v>0.81319444444444444</v>
      </c>
      <c r="D202" t="s">
        <v>304</v>
      </c>
      <c r="E202">
        <v>30241</v>
      </c>
      <c r="F202" t="s">
        <v>22</v>
      </c>
      <c r="G202" t="s">
        <v>40</v>
      </c>
      <c r="H202">
        <v>3</v>
      </c>
      <c r="I202" t="s">
        <v>67</v>
      </c>
      <c r="J202" t="s">
        <v>241</v>
      </c>
      <c r="K202" t="s">
        <v>270</v>
      </c>
      <c r="L202" t="s">
        <v>573</v>
      </c>
      <c r="M202" t="s">
        <v>583</v>
      </c>
      <c r="N202">
        <v>2</v>
      </c>
      <c r="O202" t="b">
        <v>0</v>
      </c>
      <c r="P202" t="s">
        <v>26</v>
      </c>
      <c r="Q202" t="s">
        <v>27</v>
      </c>
      <c r="T202" t="s">
        <v>28</v>
      </c>
      <c r="U202" s="4">
        <f t="shared" si="5"/>
        <v>46188</v>
      </c>
    </row>
    <row r="203" spans="1:21" x14ac:dyDescent="0.25">
      <c r="A203" t="s">
        <v>65</v>
      </c>
      <c r="B203" s="1">
        <v>46188</v>
      </c>
      <c r="C203" s="2">
        <v>0.92500000000000004</v>
      </c>
      <c r="D203" t="s">
        <v>393</v>
      </c>
      <c r="E203">
        <v>30238</v>
      </c>
      <c r="F203" t="s">
        <v>150</v>
      </c>
      <c r="G203" t="s">
        <v>23</v>
      </c>
      <c r="H203">
        <v>3</v>
      </c>
      <c r="I203" t="s">
        <v>67</v>
      </c>
      <c r="J203" t="s">
        <v>100</v>
      </c>
      <c r="K203" t="s">
        <v>101</v>
      </c>
      <c r="L203" t="s">
        <v>574</v>
      </c>
      <c r="M203" t="s">
        <v>583</v>
      </c>
      <c r="N203">
        <v>1</v>
      </c>
      <c r="O203" t="b">
        <v>0</v>
      </c>
      <c r="P203" t="s">
        <v>26</v>
      </c>
      <c r="Q203" t="s">
        <v>27</v>
      </c>
      <c r="S203" t="s">
        <v>539</v>
      </c>
      <c r="T203" t="s">
        <v>28</v>
      </c>
      <c r="U203" s="4">
        <f t="shared" si="5"/>
        <v>46188</v>
      </c>
    </row>
    <row r="204" spans="1:21" x14ac:dyDescent="0.25">
      <c r="A204" t="s">
        <v>46</v>
      </c>
      <c r="B204" s="1">
        <v>46188</v>
      </c>
      <c r="C204" s="2">
        <v>0.81319444444444444</v>
      </c>
      <c r="D204" t="s">
        <v>324</v>
      </c>
      <c r="E204">
        <v>30240</v>
      </c>
      <c r="F204" t="s">
        <v>131</v>
      </c>
      <c r="G204" t="s">
        <v>23</v>
      </c>
      <c r="H204">
        <v>3</v>
      </c>
      <c r="I204" t="s">
        <v>48</v>
      </c>
      <c r="J204" t="s">
        <v>241</v>
      </c>
      <c r="K204" t="s">
        <v>270</v>
      </c>
      <c r="L204" t="s">
        <v>575</v>
      </c>
      <c r="M204" t="s">
        <v>583</v>
      </c>
      <c r="N204">
        <v>1</v>
      </c>
      <c r="O204" t="b">
        <v>0</v>
      </c>
      <c r="P204" t="s">
        <v>26</v>
      </c>
      <c r="Q204" t="s">
        <v>27</v>
      </c>
      <c r="T204" t="s">
        <v>28</v>
      </c>
      <c r="U204" s="4">
        <f t="shared" si="5"/>
        <v>46188</v>
      </c>
    </row>
    <row r="205" spans="1:21" x14ac:dyDescent="0.25">
      <c r="A205" t="s">
        <v>46</v>
      </c>
      <c r="B205" s="1">
        <v>46188</v>
      </c>
      <c r="C205" s="2">
        <v>0.85416666666666663</v>
      </c>
      <c r="D205" t="s">
        <v>323</v>
      </c>
      <c r="E205">
        <v>30246</v>
      </c>
      <c r="F205" t="s">
        <v>129</v>
      </c>
      <c r="G205" t="s">
        <v>23</v>
      </c>
      <c r="H205">
        <v>4</v>
      </c>
      <c r="I205" t="s">
        <v>48</v>
      </c>
      <c r="J205" t="s">
        <v>241</v>
      </c>
      <c r="K205" t="s">
        <v>246</v>
      </c>
      <c r="L205" t="s">
        <v>576</v>
      </c>
      <c r="M205" t="s">
        <v>583</v>
      </c>
      <c r="N205">
        <v>1</v>
      </c>
      <c r="O205" t="b">
        <v>0</v>
      </c>
      <c r="P205" t="s">
        <v>26</v>
      </c>
      <c r="Q205" t="s">
        <v>27</v>
      </c>
      <c r="T205" t="s">
        <v>28</v>
      </c>
      <c r="U205" s="4">
        <f t="shared" si="5"/>
        <v>46188</v>
      </c>
    </row>
    <row r="206" spans="1:21" x14ac:dyDescent="0.25">
      <c r="A206" t="s">
        <v>46</v>
      </c>
      <c r="B206" s="1">
        <v>46188</v>
      </c>
      <c r="C206" s="2">
        <v>0.92638888888888893</v>
      </c>
      <c r="D206" t="s">
        <v>340</v>
      </c>
      <c r="E206">
        <v>30237</v>
      </c>
      <c r="F206" t="s">
        <v>155</v>
      </c>
      <c r="G206" t="s">
        <v>23</v>
      </c>
      <c r="H206">
        <v>5</v>
      </c>
      <c r="I206" t="s">
        <v>48</v>
      </c>
      <c r="J206" t="s">
        <v>100</v>
      </c>
      <c r="K206" t="s">
        <v>101</v>
      </c>
      <c r="L206" t="s">
        <v>577</v>
      </c>
      <c r="M206" t="s">
        <v>583</v>
      </c>
      <c r="N206">
        <v>1</v>
      </c>
      <c r="O206" t="b">
        <v>0</v>
      </c>
      <c r="P206" t="s">
        <v>26</v>
      </c>
      <c r="Q206" t="s">
        <v>27</v>
      </c>
      <c r="T206" t="s">
        <v>28</v>
      </c>
      <c r="U206" s="4">
        <f t="shared" si="5"/>
        <v>46188</v>
      </c>
    </row>
    <row r="207" spans="1:21" x14ac:dyDescent="0.25">
      <c r="A207" t="s">
        <v>141</v>
      </c>
      <c r="B207" s="1">
        <v>46188</v>
      </c>
      <c r="C207" s="2">
        <v>0.79861111111111116</v>
      </c>
      <c r="D207" t="s">
        <v>375</v>
      </c>
      <c r="E207">
        <v>30022</v>
      </c>
      <c r="F207" t="s">
        <v>266</v>
      </c>
      <c r="G207" t="s">
        <v>40</v>
      </c>
      <c r="H207">
        <v>4</v>
      </c>
      <c r="I207" t="s">
        <v>74</v>
      </c>
      <c r="J207" t="s">
        <v>241</v>
      </c>
      <c r="K207" t="s">
        <v>260</v>
      </c>
      <c r="L207" t="s">
        <v>578</v>
      </c>
      <c r="M207" t="s">
        <v>583</v>
      </c>
      <c r="N207">
        <v>2</v>
      </c>
      <c r="O207" t="b">
        <v>0</v>
      </c>
      <c r="P207" t="s">
        <v>26</v>
      </c>
      <c r="Q207" t="s">
        <v>41</v>
      </c>
      <c r="R207" t="s">
        <v>68</v>
      </c>
      <c r="T207" t="s">
        <v>28</v>
      </c>
      <c r="U207" s="4">
        <f t="shared" si="5"/>
        <v>46188</v>
      </c>
    </row>
    <row r="208" spans="1:21" x14ac:dyDescent="0.25">
      <c r="A208" t="s">
        <v>141</v>
      </c>
      <c r="B208" s="1">
        <v>46188</v>
      </c>
      <c r="C208" s="2">
        <v>0.86458333333333337</v>
      </c>
      <c r="D208" t="s">
        <v>331</v>
      </c>
      <c r="E208">
        <v>30245</v>
      </c>
      <c r="F208" t="s">
        <v>73</v>
      </c>
      <c r="G208" t="s">
        <v>23</v>
      </c>
      <c r="H208">
        <v>4</v>
      </c>
      <c r="I208" t="s">
        <v>74</v>
      </c>
      <c r="J208" t="s">
        <v>241</v>
      </c>
      <c r="K208" t="s">
        <v>246</v>
      </c>
      <c r="L208" t="s">
        <v>579</v>
      </c>
      <c r="M208" t="s">
        <v>583</v>
      </c>
      <c r="N208">
        <v>1</v>
      </c>
      <c r="O208" t="b">
        <v>0</v>
      </c>
      <c r="P208" t="s">
        <v>26</v>
      </c>
      <c r="Q208" t="s">
        <v>27</v>
      </c>
      <c r="T208" t="s">
        <v>28</v>
      </c>
      <c r="U208" s="4">
        <f t="shared" si="5"/>
        <v>46188</v>
      </c>
    </row>
    <row r="209" spans="1:21" x14ac:dyDescent="0.25">
      <c r="A209" t="s">
        <v>141</v>
      </c>
      <c r="B209" s="1">
        <v>46188</v>
      </c>
      <c r="C209" s="2">
        <v>0.89861111111111114</v>
      </c>
      <c r="D209" t="s">
        <v>552</v>
      </c>
      <c r="E209">
        <v>32944</v>
      </c>
      <c r="F209" t="s">
        <v>540</v>
      </c>
      <c r="G209" t="s">
        <v>23</v>
      </c>
      <c r="H209">
        <v>4</v>
      </c>
      <c r="I209" t="s">
        <v>74</v>
      </c>
      <c r="J209" t="s">
        <v>100</v>
      </c>
      <c r="K209" t="s">
        <v>205</v>
      </c>
      <c r="L209" t="s">
        <v>580</v>
      </c>
      <c r="M209" t="s">
        <v>583</v>
      </c>
      <c r="N209">
        <v>1</v>
      </c>
      <c r="O209" t="b">
        <v>0</v>
      </c>
      <c r="P209" t="s">
        <v>26</v>
      </c>
      <c r="Q209" t="s">
        <v>541</v>
      </c>
      <c r="R209" t="s">
        <v>180</v>
      </c>
      <c r="T209" t="s">
        <v>28</v>
      </c>
      <c r="U209" s="4">
        <f t="shared" si="5"/>
        <v>46188</v>
      </c>
    </row>
    <row r="210" spans="1:21" x14ac:dyDescent="0.25">
      <c r="A210" t="s">
        <v>167</v>
      </c>
      <c r="B210" s="1">
        <v>46188</v>
      </c>
      <c r="C210" s="2">
        <v>0.86736111111111114</v>
      </c>
      <c r="D210" t="s">
        <v>299</v>
      </c>
      <c r="E210">
        <v>30242</v>
      </c>
      <c r="F210" t="s">
        <v>85</v>
      </c>
      <c r="G210" t="s">
        <v>23</v>
      </c>
      <c r="H210">
        <v>4</v>
      </c>
      <c r="I210" t="s">
        <v>74</v>
      </c>
      <c r="J210" t="s">
        <v>241</v>
      </c>
      <c r="K210" t="s">
        <v>52</v>
      </c>
      <c r="L210" t="s">
        <v>581</v>
      </c>
      <c r="M210" t="s">
        <v>583</v>
      </c>
      <c r="N210">
        <v>1</v>
      </c>
      <c r="O210" t="b">
        <v>0</v>
      </c>
      <c r="P210" t="s">
        <v>26</v>
      </c>
      <c r="Q210" t="s">
        <v>27</v>
      </c>
      <c r="S210" t="s">
        <v>542</v>
      </c>
      <c r="T210" t="s">
        <v>28</v>
      </c>
      <c r="U210" s="4">
        <f t="shared" si="5"/>
        <v>46188</v>
      </c>
    </row>
    <row r="211" spans="1:21" x14ac:dyDescent="0.25">
      <c r="A211" t="s">
        <v>69</v>
      </c>
      <c r="B211" s="1">
        <v>46188</v>
      </c>
      <c r="C211" s="2">
        <v>0.86736111111111114</v>
      </c>
      <c r="D211" t="s">
        <v>553</v>
      </c>
      <c r="E211">
        <v>30109</v>
      </c>
      <c r="F211" t="s">
        <v>96</v>
      </c>
      <c r="G211" t="s">
        <v>23</v>
      </c>
      <c r="H211">
        <v>4</v>
      </c>
      <c r="I211" t="s">
        <v>71</v>
      </c>
      <c r="J211" t="s">
        <v>241</v>
      </c>
      <c r="K211" t="s">
        <v>52</v>
      </c>
      <c r="L211" t="s">
        <v>582</v>
      </c>
      <c r="M211" t="s">
        <v>489</v>
      </c>
      <c r="N211">
        <v>1</v>
      </c>
      <c r="O211" t="b">
        <v>0</v>
      </c>
      <c r="P211" t="s">
        <v>26</v>
      </c>
      <c r="Q211" t="s">
        <v>41</v>
      </c>
      <c r="R211" t="s">
        <v>42</v>
      </c>
      <c r="T211" t="s">
        <v>28</v>
      </c>
      <c r="U211" s="4">
        <f t="shared" si="5"/>
        <v>46188</v>
      </c>
    </row>
    <row r="212" spans="1:21" x14ac:dyDescent="0.25">
      <c r="A212" t="s">
        <v>126</v>
      </c>
      <c r="B212" s="1">
        <v>46195</v>
      </c>
      <c r="C212" s="2">
        <v>0.89375000000000004</v>
      </c>
      <c r="D212" t="s">
        <v>340</v>
      </c>
      <c r="E212">
        <v>30237</v>
      </c>
      <c r="F212" t="s">
        <v>155</v>
      </c>
      <c r="G212" t="s">
        <v>23</v>
      </c>
      <c r="H212">
        <v>0</v>
      </c>
      <c r="I212" t="s">
        <v>57</v>
      </c>
      <c r="J212" t="s">
        <v>100</v>
      </c>
      <c r="K212" t="s">
        <v>247</v>
      </c>
      <c r="L212" t="s">
        <v>543</v>
      </c>
      <c r="M212" t="s">
        <v>583</v>
      </c>
      <c r="N212">
        <v>1</v>
      </c>
      <c r="O212" t="b">
        <v>0</v>
      </c>
      <c r="P212" t="s">
        <v>26</v>
      </c>
      <c r="Q212" t="s">
        <v>27</v>
      </c>
      <c r="S212" t="s">
        <v>586</v>
      </c>
      <c r="T212" t="s">
        <v>83</v>
      </c>
      <c r="U212" s="4">
        <f t="shared" si="5"/>
        <v>46195</v>
      </c>
    </row>
    <row r="213" spans="1:21" x14ac:dyDescent="0.25">
      <c r="A213" t="s">
        <v>126</v>
      </c>
      <c r="B213" s="1">
        <v>46195</v>
      </c>
      <c r="C213" s="2">
        <v>0.90625</v>
      </c>
      <c r="D213" t="s">
        <v>384</v>
      </c>
      <c r="E213">
        <v>29767</v>
      </c>
      <c r="F213" t="s">
        <v>252</v>
      </c>
      <c r="G213" t="s">
        <v>37</v>
      </c>
      <c r="H213">
        <v>0</v>
      </c>
      <c r="I213" t="s">
        <v>57</v>
      </c>
      <c r="J213" t="s">
        <v>584</v>
      </c>
      <c r="K213" t="s">
        <v>170</v>
      </c>
      <c r="L213" t="s">
        <v>640</v>
      </c>
      <c r="M213" t="s">
        <v>583</v>
      </c>
      <c r="N213">
        <v>4</v>
      </c>
      <c r="O213" t="b">
        <v>0</v>
      </c>
      <c r="P213" t="s">
        <v>26</v>
      </c>
      <c r="Q213" t="s">
        <v>27</v>
      </c>
      <c r="S213" t="s">
        <v>587</v>
      </c>
      <c r="T213" t="s">
        <v>83</v>
      </c>
      <c r="U213" s="4">
        <f t="shared" si="5"/>
        <v>46195</v>
      </c>
    </row>
    <row r="214" spans="1:21" x14ac:dyDescent="0.25">
      <c r="A214" t="s">
        <v>93</v>
      </c>
      <c r="B214" s="1">
        <v>46195</v>
      </c>
      <c r="C214" s="2">
        <v>0.89375000000000004</v>
      </c>
      <c r="D214" t="s">
        <v>367</v>
      </c>
      <c r="E214">
        <v>29987</v>
      </c>
      <c r="F214" t="s">
        <v>204</v>
      </c>
      <c r="G214" t="s">
        <v>23</v>
      </c>
      <c r="H214">
        <v>1</v>
      </c>
      <c r="I214" t="s">
        <v>67</v>
      </c>
      <c r="J214" t="s">
        <v>100</v>
      </c>
      <c r="K214" t="s">
        <v>247</v>
      </c>
      <c r="L214" t="s">
        <v>641</v>
      </c>
      <c r="M214" t="s">
        <v>583</v>
      </c>
      <c r="N214">
        <v>1</v>
      </c>
      <c r="O214" t="b">
        <v>0</v>
      </c>
      <c r="P214" t="s">
        <v>26</v>
      </c>
      <c r="Q214" t="s">
        <v>112</v>
      </c>
      <c r="R214" t="s">
        <v>102</v>
      </c>
      <c r="T214" t="s">
        <v>83</v>
      </c>
      <c r="U214" s="4">
        <f t="shared" si="5"/>
        <v>46195</v>
      </c>
    </row>
    <row r="215" spans="1:21" x14ac:dyDescent="0.25">
      <c r="A215" t="s">
        <v>29</v>
      </c>
      <c r="B215" s="1">
        <v>46195</v>
      </c>
      <c r="C215" s="2">
        <v>0.8930555555555556</v>
      </c>
      <c r="D215" t="s">
        <v>366</v>
      </c>
      <c r="E215">
        <v>29993</v>
      </c>
      <c r="F215" t="s">
        <v>199</v>
      </c>
      <c r="G215" t="s">
        <v>23</v>
      </c>
      <c r="H215">
        <v>1</v>
      </c>
      <c r="I215" t="s">
        <v>32</v>
      </c>
      <c r="J215" t="s">
        <v>100</v>
      </c>
      <c r="K215" t="s">
        <v>247</v>
      </c>
      <c r="L215" t="s">
        <v>639</v>
      </c>
      <c r="M215" t="s">
        <v>583</v>
      </c>
      <c r="N215">
        <v>1</v>
      </c>
      <c r="O215" t="b">
        <v>0</v>
      </c>
      <c r="P215" t="s">
        <v>26</v>
      </c>
      <c r="Q215" t="s">
        <v>201</v>
      </c>
      <c r="R215" t="s">
        <v>45</v>
      </c>
      <c r="T215" t="s">
        <v>83</v>
      </c>
      <c r="U215" s="4">
        <f t="shared" si="5"/>
        <v>46195</v>
      </c>
    </row>
    <row r="216" spans="1:21" x14ac:dyDescent="0.25">
      <c r="A216" t="s">
        <v>55</v>
      </c>
      <c r="B216" s="1">
        <v>46195</v>
      </c>
      <c r="C216" s="2">
        <v>0.86597222222222225</v>
      </c>
      <c r="D216" t="s">
        <v>617</v>
      </c>
      <c r="E216">
        <v>30026</v>
      </c>
      <c r="F216" t="s">
        <v>158</v>
      </c>
      <c r="G216" t="s">
        <v>31</v>
      </c>
      <c r="H216">
        <v>2</v>
      </c>
      <c r="I216" t="s">
        <v>57</v>
      </c>
      <c r="J216" t="s">
        <v>100</v>
      </c>
      <c r="K216" t="s">
        <v>200</v>
      </c>
      <c r="L216" t="s">
        <v>642</v>
      </c>
      <c r="M216" t="s">
        <v>583</v>
      </c>
      <c r="N216">
        <v>3</v>
      </c>
      <c r="O216" t="b">
        <v>0</v>
      </c>
      <c r="P216" t="s">
        <v>26</v>
      </c>
      <c r="Q216" t="s">
        <v>34</v>
      </c>
      <c r="R216" t="s">
        <v>113</v>
      </c>
      <c r="T216" t="s">
        <v>83</v>
      </c>
      <c r="U216" s="4">
        <f t="shared" si="5"/>
        <v>46195</v>
      </c>
    </row>
    <row r="217" spans="1:21" x14ac:dyDescent="0.25">
      <c r="A217" t="s">
        <v>72</v>
      </c>
      <c r="B217" s="1">
        <v>46195</v>
      </c>
      <c r="C217" s="2">
        <v>0.92013888888888884</v>
      </c>
      <c r="D217" t="s">
        <v>618</v>
      </c>
      <c r="E217">
        <v>29754</v>
      </c>
      <c r="F217" t="s">
        <v>273</v>
      </c>
      <c r="G217" t="s">
        <v>37</v>
      </c>
      <c r="H217">
        <v>0</v>
      </c>
      <c r="I217" t="s">
        <v>74</v>
      </c>
      <c r="J217" t="s">
        <v>585</v>
      </c>
      <c r="K217" t="s">
        <v>173</v>
      </c>
      <c r="L217" t="s">
        <v>458</v>
      </c>
      <c r="M217" t="s">
        <v>583</v>
      </c>
      <c r="N217">
        <v>4</v>
      </c>
      <c r="O217" t="b">
        <v>0</v>
      </c>
      <c r="P217" t="s">
        <v>26</v>
      </c>
      <c r="Q217" t="s">
        <v>27</v>
      </c>
      <c r="T217" t="s">
        <v>83</v>
      </c>
      <c r="U217" s="4">
        <f t="shared" si="5"/>
        <v>46195</v>
      </c>
    </row>
    <row r="218" spans="1:21" x14ac:dyDescent="0.25">
      <c r="A218" t="s">
        <v>157</v>
      </c>
      <c r="B218" s="1">
        <v>46195</v>
      </c>
      <c r="C218" s="2">
        <v>0.8930555555555556</v>
      </c>
      <c r="D218" t="s">
        <v>393</v>
      </c>
      <c r="E218">
        <v>30236</v>
      </c>
      <c r="F218" t="s">
        <v>281</v>
      </c>
      <c r="G218" t="s">
        <v>23</v>
      </c>
      <c r="H218">
        <v>0</v>
      </c>
      <c r="I218" t="s">
        <v>74</v>
      </c>
      <c r="J218" t="s">
        <v>100</v>
      </c>
      <c r="K218" t="s">
        <v>247</v>
      </c>
      <c r="L218" t="s">
        <v>643</v>
      </c>
      <c r="M218" t="s">
        <v>583</v>
      </c>
      <c r="N218">
        <v>1</v>
      </c>
      <c r="O218" t="b">
        <v>0</v>
      </c>
      <c r="P218" t="s">
        <v>26</v>
      </c>
      <c r="Q218" t="s">
        <v>27</v>
      </c>
      <c r="T218" t="s">
        <v>83</v>
      </c>
      <c r="U218" s="4">
        <f t="shared" si="5"/>
        <v>46195</v>
      </c>
    </row>
    <row r="219" spans="1:21" x14ac:dyDescent="0.25">
      <c r="A219" t="s">
        <v>600</v>
      </c>
      <c r="B219" s="1">
        <v>46195</v>
      </c>
      <c r="C219" s="2">
        <v>0.89375000000000004</v>
      </c>
      <c r="D219" t="s">
        <v>340</v>
      </c>
      <c r="E219">
        <v>30237</v>
      </c>
      <c r="F219" t="s">
        <v>155</v>
      </c>
      <c r="G219" t="s">
        <v>23</v>
      </c>
      <c r="H219">
        <v>1</v>
      </c>
      <c r="I219" t="s">
        <v>51</v>
      </c>
      <c r="J219" t="s">
        <v>100</v>
      </c>
      <c r="K219" t="s">
        <v>247</v>
      </c>
      <c r="L219" t="s">
        <v>644</v>
      </c>
      <c r="M219" t="s">
        <v>583</v>
      </c>
      <c r="N219">
        <v>1</v>
      </c>
      <c r="O219" t="b">
        <v>0</v>
      </c>
      <c r="P219" t="s">
        <v>26</v>
      </c>
      <c r="Q219" t="s">
        <v>27</v>
      </c>
      <c r="S219" t="s">
        <v>601</v>
      </c>
      <c r="T219" t="s">
        <v>83</v>
      </c>
      <c r="U219" s="4">
        <f t="shared" si="5"/>
        <v>46195</v>
      </c>
    </row>
    <row r="220" spans="1:21" x14ac:dyDescent="0.25">
      <c r="A220" t="s">
        <v>600</v>
      </c>
      <c r="B220" s="1">
        <v>46195</v>
      </c>
      <c r="C220" s="2">
        <v>0.90694444444444444</v>
      </c>
      <c r="D220" t="s">
        <v>355</v>
      </c>
      <c r="E220">
        <v>29764</v>
      </c>
      <c r="F220" t="s">
        <v>183</v>
      </c>
      <c r="G220" t="s">
        <v>37</v>
      </c>
      <c r="H220">
        <v>2</v>
      </c>
      <c r="I220" t="s">
        <v>51</v>
      </c>
      <c r="J220" t="s">
        <v>584</v>
      </c>
      <c r="K220" t="s">
        <v>170</v>
      </c>
      <c r="L220" t="s">
        <v>645</v>
      </c>
      <c r="M220" t="s">
        <v>583</v>
      </c>
      <c r="N220">
        <v>4</v>
      </c>
      <c r="O220" t="b">
        <v>0</v>
      </c>
      <c r="P220" t="s">
        <v>26</v>
      </c>
      <c r="Q220" t="s">
        <v>27</v>
      </c>
      <c r="T220" t="s">
        <v>83</v>
      </c>
      <c r="U220" s="4">
        <f t="shared" ref="U220:U279" si="6">IF(B220="","",B220)</f>
        <v>46195</v>
      </c>
    </row>
    <row r="221" spans="1:21" x14ac:dyDescent="0.25">
      <c r="A221" t="s">
        <v>603</v>
      </c>
      <c r="B221" s="1">
        <v>46195</v>
      </c>
      <c r="C221" s="2">
        <v>0.90763888888888888</v>
      </c>
      <c r="D221" t="s">
        <v>619</v>
      </c>
      <c r="E221">
        <v>28822</v>
      </c>
      <c r="F221" t="s">
        <v>169</v>
      </c>
      <c r="G221" t="s">
        <v>31</v>
      </c>
      <c r="H221">
        <v>2</v>
      </c>
      <c r="I221" t="s">
        <v>32</v>
      </c>
      <c r="J221" t="s">
        <v>584</v>
      </c>
      <c r="K221" t="s">
        <v>170</v>
      </c>
      <c r="L221" t="s">
        <v>646</v>
      </c>
      <c r="M221" t="s">
        <v>583</v>
      </c>
      <c r="N221">
        <v>3</v>
      </c>
      <c r="O221" t="b">
        <v>0</v>
      </c>
      <c r="P221" t="s">
        <v>26</v>
      </c>
      <c r="Q221" t="s">
        <v>41</v>
      </c>
      <c r="R221" t="s">
        <v>68</v>
      </c>
      <c r="T221" t="s">
        <v>83</v>
      </c>
      <c r="U221" s="4">
        <f t="shared" si="6"/>
        <v>46195</v>
      </c>
    </row>
    <row r="222" spans="1:21" x14ac:dyDescent="0.25">
      <c r="A222" t="s">
        <v>77</v>
      </c>
      <c r="B222" s="1">
        <v>46195</v>
      </c>
      <c r="C222" s="2">
        <v>0.90763888888888888</v>
      </c>
      <c r="D222" t="s">
        <v>620</v>
      </c>
      <c r="E222">
        <v>28797</v>
      </c>
      <c r="F222" t="s">
        <v>255</v>
      </c>
      <c r="G222" t="s">
        <v>23</v>
      </c>
      <c r="H222">
        <v>2</v>
      </c>
      <c r="I222" t="s">
        <v>51</v>
      </c>
      <c r="J222" t="s">
        <v>584</v>
      </c>
      <c r="K222" t="s">
        <v>170</v>
      </c>
      <c r="L222" t="s">
        <v>647</v>
      </c>
      <c r="M222" t="s">
        <v>583</v>
      </c>
      <c r="N222">
        <v>1</v>
      </c>
      <c r="O222" t="b">
        <v>0</v>
      </c>
      <c r="P222" t="s">
        <v>26</v>
      </c>
      <c r="Q222" t="s">
        <v>112</v>
      </c>
      <c r="R222" t="s">
        <v>147</v>
      </c>
      <c r="S222" t="s">
        <v>605</v>
      </c>
      <c r="T222" t="s">
        <v>83</v>
      </c>
      <c r="U222" s="4">
        <f t="shared" si="6"/>
        <v>46195</v>
      </c>
    </row>
    <row r="223" spans="1:21" x14ac:dyDescent="0.25">
      <c r="A223" t="s">
        <v>202</v>
      </c>
      <c r="B223" s="1">
        <v>46195</v>
      </c>
      <c r="C223" s="2">
        <v>0.8930555555555556</v>
      </c>
      <c r="D223" t="s">
        <v>344</v>
      </c>
      <c r="E223">
        <v>32405</v>
      </c>
      <c r="F223" t="s">
        <v>161</v>
      </c>
      <c r="G223" t="s">
        <v>23</v>
      </c>
      <c r="H223">
        <v>0</v>
      </c>
      <c r="I223" t="s">
        <v>74</v>
      </c>
      <c r="J223" t="s">
        <v>100</v>
      </c>
      <c r="K223" t="s">
        <v>247</v>
      </c>
      <c r="L223" t="s">
        <v>639</v>
      </c>
      <c r="M223" t="s">
        <v>583</v>
      </c>
      <c r="N223">
        <v>1</v>
      </c>
      <c r="O223" t="b">
        <v>0</v>
      </c>
      <c r="P223" t="s">
        <v>26</v>
      </c>
      <c r="Q223" t="s">
        <v>162</v>
      </c>
      <c r="T223" t="s">
        <v>83</v>
      </c>
      <c r="U223" s="4">
        <f t="shared" si="6"/>
        <v>46195</v>
      </c>
    </row>
    <row r="224" spans="1:21" x14ac:dyDescent="0.25">
      <c r="A224" t="s">
        <v>83</v>
      </c>
      <c r="B224" s="1">
        <v>46195</v>
      </c>
      <c r="C224" s="2">
        <v>0.90763888888888888</v>
      </c>
      <c r="D224" t="s">
        <v>348</v>
      </c>
      <c r="E224">
        <v>29762</v>
      </c>
      <c r="F224" t="s">
        <v>171</v>
      </c>
      <c r="G224" t="s">
        <v>616</v>
      </c>
      <c r="H224">
        <v>0</v>
      </c>
      <c r="I224" t="s">
        <v>32</v>
      </c>
      <c r="J224" t="s">
        <v>584</v>
      </c>
      <c r="K224" t="s">
        <v>170</v>
      </c>
      <c r="L224" t="s">
        <v>648</v>
      </c>
      <c r="M224" t="s">
        <v>583</v>
      </c>
      <c r="N224">
        <v>1</v>
      </c>
      <c r="O224" t="b">
        <v>1</v>
      </c>
      <c r="P224" t="s">
        <v>26</v>
      </c>
      <c r="Q224" t="s">
        <v>27</v>
      </c>
      <c r="T224" t="s">
        <v>83</v>
      </c>
      <c r="U224" s="4">
        <f t="shared" si="6"/>
        <v>46195</v>
      </c>
    </row>
    <row r="225" spans="1:21" x14ac:dyDescent="0.25">
      <c r="A225" t="s">
        <v>83</v>
      </c>
      <c r="B225" s="1">
        <v>46195</v>
      </c>
      <c r="C225" s="2">
        <v>0.90763888888888888</v>
      </c>
      <c r="D225" t="s">
        <v>621</v>
      </c>
      <c r="E225">
        <v>28827</v>
      </c>
      <c r="F225" t="s">
        <v>608</v>
      </c>
      <c r="G225" t="s">
        <v>616</v>
      </c>
      <c r="H225">
        <v>0</v>
      </c>
      <c r="I225" t="s">
        <v>32</v>
      </c>
      <c r="J225" t="s">
        <v>584</v>
      </c>
      <c r="K225" t="s">
        <v>170</v>
      </c>
      <c r="L225" t="s">
        <v>649</v>
      </c>
      <c r="M225" t="s">
        <v>583</v>
      </c>
      <c r="N225">
        <v>1</v>
      </c>
      <c r="O225" t="b">
        <v>1</v>
      </c>
      <c r="P225" t="s">
        <v>26</v>
      </c>
      <c r="Q225" t="s">
        <v>34</v>
      </c>
      <c r="R225" t="s">
        <v>102</v>
      </c>
      <c r="T225" t="s">
        <v>83</v>
      </c>
      <c r="U225" s="4">
        <f t="shared" si="6"/>
        <v>46195</v>
      </c>
    </row>
    <row r="226" spans="1:21" x14ac:dyDescent="0.25">
      <c r="A226" t="s">
        <v>83</v>
      </c>
      <c r="B226" s="1">
        <v>46195</v>
      </c>
      <c r="C226" s="2">
        <v>0.90763888888888888</v>
      </c>
      <c r="D226" t="s">
        <v>349</v>
      </c>
      <c r="E226">
        <v>29765</v>
      </c>
      <c r="F226" t="s">
        <v>172</v>
      </c>
      <c r="G226" t="s">
        <v>616</v>
      </c>
      <c r="H226">
        <v>0</v>
      </c>
      <c r="I226" t="s">
        <v>32</v>
      </c>
      <c r="J226" t="s">
        <v>584</v>
      </c>
      <c r="K226" t="s">
        <v>170</v>
      </c>
      <c r="L226" t="s">
        <v>650</v>
      </c>
      <c r="M226" t="s">
        <v>583</v>
      </c>
      <c r="N226">
        <v>1</v>
      </c>
      <c r="O226" t="b">
        <v>1</v>
      </c>
      <c r="P226" t="s">
        <v>26</v>
      </c>
      <c r="Q226" t="s">
        <v>27</v>
      </c>
      <c r="T226" t="s">
        <v>83</v>
      </c>
      <c r="U226" s="4">
        <f t="shared" si="6"/>
        <v>46195</v>
      </c>
    </row>
    <row r="227" spans="1:21" x14ac:dyDescent="0.25">
      <c r="A227" t="s">
        <v>83</v>
      </c>
      <c r="B227" s="1">
        <v>46195</v>
      </c>
      <c r="C227" s="2">
        <v>0.90763888888888888</v>
      </c>
      <c r="D227" t="s">
        <v>349</v>
      </c>
      <c r="E227">
        <v>29765</v>
      </c>
      <c r="F227" t="s">
        <v>172</v>
      </c>
      <c r="G227" t="s">
        <v>616</v>
      </c>
      <c r="H227">
        <v>0</v>
      </c>
      <c r="I227" t="s">
        <v>32</v>
      </c>
      <c r="J227" t="s">
        <v>584</v>
      </c>
      <c r="K227" t="s">
        <v>170</v>
      </c>
      <c r="L227" t="s">
        <v>650</v>
      </c>
      <c r="M227" t="s">
        <v>583</v>
      </c>
      <c r="N227">
        <v>1</v>
      </c>
      <c r="O227" t="b">
        <v>1</v>
      </c>
      <c r="P227" t="s">
        <v>26</v>
      </c>
      <c r="Q227" t="s">
        <v>27</v>
      </c>
      <c r="T227" t="s">
        <v>83</v>
      </c>
      <c r="U227" s="4">
        <f t="shared" si="6"/>
        <v>46195</v>
      </c>
    </row>
    <row r="228" spans="1:21" x14ac:dyDescent="0.25">
      <c r="A228" t="s">
        <v>83</v>
      </c>
      <c r="B228" s="1">
        <v>46195</v>
      </c>
      <c r="C228" s="2">
        <v>0.9194444444444444</v>
      </c>
      <c r="D228" t="s">
        <v>622</v>
      </c>
      <c r="E228">
        <v>28775</v>
      </c>
      <c r="F228" t="s">
        <v>253</v>
      </c>
      <c r="G228" t="s">
        <v>616</v>
      </c>
      <c r="H228">
        <v>0</v>
      </c>
      <c r="I228" t="s">
        <v>32</v>
      </c>
      <c r="J228" t="s">
        <v>585</v>
      </c>
      <c r="K228" t="s">
        <v>173</v>
      </c>
      <c r="L228" t="s">
        <v>651</v>
      </c>
      <c r="M228" t="s">
        <v>583</v>
      </c>
      <c r="N228">
        <v>1</v>
      </c>
      <c r="O228" t="b">
        <v>1</v>
      </c>
      <c r="P228" t="s">
        <v>26</v>
      </c>
      <c r="Q228" t="s">
        <v>38</v>
      </c>
      <c r="R228" t="s">
        <v>109</v>
      </c>
      <c r="T228" t="s">
        <v>83</v>
      </c>
      <c r="U228" s="4">
        <f t="shared" si="6"/>
        <v>46195</v>
      </c>
    </row>
    <row r="229" spans="1:21" x14ac:dyDescent="0.25">
      <c r="A229" t="s">
        <v>83</v>
      </c>
      <c r="B229" s="1">
        <v>46195</v>
      </c>
      <c r="C229" s="2">
        <v>0.92013888888888884</v>
      </c>
      <c r="D229" t="s">
        <v>621</v>
      </c>
      <c r="E229">
        <v>28827</v>
      </c>
      <c r="F229" t="s">
        <v>608</v>
      </c>
      <c r="G229" t="s">
        <v>616</v>
      </c>
      <c r="H229">
        <v>0</v>
      </c>
      <c r="I229" t="s">
        <v>32</v>
      </c>
      <c r="J229" t="s">
        <v>585</v>
      </c>
      <c r="K229" t="s">
        <v>173</v>
      </c>
      <c r="L229" t="s">
        <v>649</v>
      </c>
      <c r="M229" t="s">
        <v>583</v>
      </c>
      <c r="N229">
        <v>1</v>
      </c>
      <c r="O229" t="b">
        <v>1</v>
      </c>
      <c r="P229" t="s">
        <v>26</v>
      </c>
      <c r="Q229" t="s">
        <v>34</v>
      </c>
      <c r="R229" t="s">
        <v>102</v>
      </c>
      <c r="T229" t="s">
        <v>83</v>
      </c>
      <c r="U229" s="4">
        <f t="shared" si="6"/>
        <v>46195</v>
      </c>
    </row>
    <row r="230" spans="1:21" x14ac:dyDescent="0.25">
      <c r="A230" t="s">
        <v>83</v>
      </c>
      <c r="B230" s="1">
        <v>46195</v>
      </c>
      <c r="C230" s="2">
        <v>0.92083333333333328</v>
      </c>
      <c r="D230" t="s">
        <v>349</v>
      </c>
      <c r="E230">
        <v>29765</v>
      </c>
      <c r="F230" t="s">
        <v>172</v>
      </c>
      <c r="G230" t="s">
        <v>616</v>
      </c>
      <c r="H230">
        <v>0</v>
      </c>
      <c r="I230" t="s">
        <v>32</v>
      </c>
      <c r="J230" t="s">
        <v>585</v>
      </c>
      <c r="K230" t="s">
        <v>173</v>
      </c>
      <c r="L230" t="s">
        <v>650</v>
      </c>
      <c r="M230" t="s">
        <v>583</v>
      </c>
      <c r="N230">
        <v>1</v>
      </c>
      <c r="O230" t="b">
        <v>1</v>
      </c>
      <c r="P230" t="s">
        <v>26</v>
      </c>
      <c r="Q230" t="s">
        <v>27</v>
      </c>
      <c r="T230" t="s">
        <v>83</v>
      </c>
      <c r="U230" s="4">
        <f t="shared" si="6"/>
        <v>46195</v>
      </c>
    </row>
    <row r="231" spans="1:21" x14ac:dyDescent="0.25">
      <c r="A231" t="s">
        <v>104</v>
      </c>
      <c r="B231" s="1">
        <v>46195</v>
      </c>
      <c r="C231" s="2">
        <v>0.86597222222222225</v>
      </c>
      <c r="D231" t="s">
        <v>617</v>
      </c>
      <c r="E231">
        <v>30026</v>
      </c>
      <c r="F231" t="s">
        <v>158</v>
      </c>
      <c r="G231" t="s">
        <v>40</v>
      </c>
      <c r="H231">
        <v>2</v>
      </c>
      <c r="I231" t="s">
        <v>24</v>
      </c>
      <c r="J231" t="s">
        <v>100</v>
      </c>
      <c r="K231" t="s">
        <v>200</v>
      </c>
      <c r="L231" t="s">
        <v>652</v>
      </c>
      <c r="M231" t="s">
        <v>583</v>
      </c>
      <c r="N231">
        <v>2</v>
      </c>
      <c r="O231" t="b">
        <v>0</v>
      </c>
      <c r="P231" t="s">
        <v>26</v>
      </c>
      <c r="Q231" t="s">
        <v>34</v>
      </c>
      <c r="R231" t="s">
        <v>113</v>
      </c>
      <c r="T231" t="s">
        <v>83</v>
      </c>
      <c r="U231" s="4">
        <f t="shared" si="6"/>
        <v>46195</v>
      </c>
    </row>
    <row r="232" spans="1:21" x14ac:dyDescent="0.25">
      <c r="A232" t="s">
        <v>104</v>
      </c>
      <c r="B232" s="1">
        <v>46195</v>
      </c>
      <c r="C232" s="2">
        <v>0.92083333333333328</v>
      </c>
      <c r="D232" t="s">
        <v>352</v>
      </c>
      <c r="E232">
        <v>32386</v>
      </c>
      <c r="F232" t="s">
        <v>177</v>
      </c>
      <c r="G232" t="s">
        <v>23</v>
      </c>
      <c r="H232">
        <v>1</v>
      </c>
      <c r="I232" t="s">
        <v>24</v>
      </c>
      <c r="J232" t="s">
        <v>585</v>
      </c>
      <c r="K232" t="s">
        <v>173</v>
      </c>
      <c r="L232" t="s">
        <v>639</v>
      </c>
      <c r="M232" t="s">
        <v>583</v>
      </c>
      <c r="N232">
        <v>1</v>
      </c>
      <c r="O232" t="b">
        <v>0</v>
      </c>
      <c r="P232" t="s">
        <v>26</v>
      </c>
      <c r="Q232" t="s">
        <v>162</v>
      </c>
      <c r="S232" t="s">
        <v>611</v>
      </c>
      <c r="T232" t="s">
        <v>83</v>
      </c>
      <c r="U232" s="4">
        <f t="shared" si="6"/>
        <v>46195</v>
      </c>
    </row>
    <row r="233" spans="1:21" x14ac:dyDescent="0.25">
      <c r="A233" t="s">
        <v>126</v>
      </c>
      <c r="B233" s="1">
        <v>46198</v>
      </c>
      <c r="C233" s="2">
        <v>0.81874999999999998</v>
      </c>
      <c r="D233" t="s">
        <v>623</v>
      </c>
      <c r="E233">
        <v>30057</v>
      </c>
      <c r="F233" t="s">
        <v>254</v>
      </c>
      <c r="G233" t="s">
        <v>23</v>
      </c>
      <c r="H233">
        <v>3</v>
      </c>
      <c r="I233" t="s">
        <v>57</v>
      </c>
      <c r="J233" t="s">
        <v>241</v>
      </c>
      <c r="K233" t="s">
        <v>174</v>
      </c>
      <c r="L233" t="s">
        <v>559</v>
      </c>
      <c r="M233" t="s">
        <v>583</v>
      </c>
      <c r="N233">
        <v>1</v>
      </c>
      <c r="O233" t="b">
        <v>0</v>
      </c>
      <c r="P233" t="s">
        <v>26</v>
      </c>
      <c r="Q233" t="s">
        <v>38</v>
      </c>
      <c r="R233" t="s">
        <v>113</v>
      </c>
      <c r="S233" t="s">
        <v>588</v>
      </c>
      <c r="T233" t="s">
        <v>28</v>
      </c>
      <c r="U233" s="4">
        <f t="shared" si="6"/>
        <v>46198</v>
      </c>
    </row>
    <row r="234" spans="1:21" x14ac:dyDescent="0.25">
      <c r="A234" t="s">
        <v>529</v>
      </c>
      <c r="B234" s="1">
        <v>46198</v>
      </c>
      <c r="C234" s="2">
        <v>0.85486111111111107</v>
      </c>
      <c r="D234" t="s">
        <v>299</v>
      </c>
      <c r="E234">
        <v>30244</v>
      </c>
      <c r="F234" t="s">
        <v>70</v>
      </c>
      <c r="G234" t="s">
        <v>23</v>
      </c>
      <c r="H234">
        <v>4</v>
      </c>
      <c r="I234" t="s">
        <v>67</v>
      </c>
      <c r="J234" t="s">
        <v>241</v>
      </c>
      <c r="K234" t="s">
        <v>52</v>
      </c>
      <c r="L234" t="s">
        <v>653</v>
      </c>
      <c r="M234" t="s">
        <v>583</v>
      </c>
      <c r="N234">
        <v>1</v>
      </c>
      <c r="O234" t="b">
        <v>0</v>
      </c>
      <c r="P234" t="s">
        <v>26</v>
      </c>
      <c r="Q234" t="s">
        <v>27</v>
      </c>
      <c r="S234" t="s">
        <v>589</v>
      </c>
      <c r="T234" t="s">
        <v>28</v>
      </c>
      <c r="U234" s="4">
        <f t="shared" si="6"/>
        <v>46198</v>
      </c>
    </row>
    <row r="235" spans="1:21" x14ac:dyDescent="0.25">
      <c r="A235" t="s">
        <v>93</v>
      </c>
      <c r="B235" s="1">
        <v>46198</v>
      </c>
      <c r="C235" s="2">
        <v>0.84305555555555556</v>
      </c>
      <c r="D235" t="s">
        <v>331</v>
      </c>
      <c r="E235">
        <v>30247</v>
      </c>
      <c r="F235" t="s">
        <v>140</v>
      </c>
      <c r="G235" t="s">
        <v>23</v>
      </c>
      <c r="H235">
        <v>3</v>
      </c>
      <c r="I235" t="s">
        <v>67</v>
      </c>
      <c r="J235" t="s">
        <v>241</v>
      </c>
      <c r="K235" t="s">
        <v>33</v>
      </c>
      <c r="L235" t="s">
        <v>654</v>
      </c>
      <c r="M235" t="s">
        <v>583</v>
      </c>
      <c r="N235">
        <v>1</v>
      </c>
      <c r="O235" t="b">
        <v>0</v>
      </c>
      <c r="P235" t="s">
        <v>26</v>
      </c>
      <c r="Q235" t="s">
        <v>27</v>
      </c>
      <c r="T235" t="s">
        <v>28</v>
      </c>
      <c r="U235" s="4">
        <f t="shared" si="6"/>
        <v>46198</v>
      </c>
    </row>
    <row r="236" spans="1:21" x14ac:dyDescent="0.25">
      <c r="A236" t="s">
        <v>592</v>
      </c>
      <c r="B236" s="1">
        <v>46198</v>
      </c>
      <c r="C236" s="2">
        <v>0.84305555555555556</v>
      </c>
      <c r="D236" t="s">
        <v>300</v>
      </c>
      <c r="E236">
        <v>30245</v>
      </c>
      <c r="F236" t="s">
        <v>73</v>
      </c>
      <c r="G236" t="s">
        <v>23</v>
      </c>
      <c r="H236">
        <v>4</v>
      </c>
      <c r="I236" t="s">
        <v>74</v>
      </c>
      <c r="J236" t="s">
        <v>241</v>
      </c>
      <c r="K236" t="s">
        <v>33</v>
      </c>
      <c r="L236" t="s">
        <v>655</v>
      </c>
      <c r="M236" t="s">
        <v>583</v>
      </c>
      <c r="N236">
        <v>1</v>
      </c>
      <c r="O236" t="b">
        <v>0</v>
      </c>
      <c r="P236" t="s">
        <v>26</v>
      </c>
      <c r="Q236" t="s">
        <v>27</v>
      </c>
      <c r="T236" t="s">
        <v>28</v>
      </c>
      <c r="U236" s="4">
        <f t="shared" si="6"/>
        <v>46198</v>
      </c>
    </row>
    <row r="237" spans="1:21" x14ac:dyDescent="0.25">
      <c r="A237" t="s">
        <v>29</v>
      </c>
      <c r="B237" s="1">
        <v>46198</v>
      </c>
      <c r="C237" s="2">
        <v>0.80902777777777779</v>
      </c>
      <c r="D237" t="s">
        <v>624</v>
      </c>
      <c r="E237">
        <v>30053</v>
      </c>
      <c r="F237" t="s">
        <v>272</v>
      </c>
      <c r="G237" t="s">
        <v>31</v>
      </c>
      <c r="H237">
        <v>3</v>
      </c>
      <c r="I237" t="s">
        <v>32</v>
      </c>
      <c r="J237" t="s">
        <v>241</v>
      </c>
      <c r="K237" t="s">
        <v>187</v>
      </c>
      <c r="L237" t="s">
        <v>656</v>
      </c>
      <c r="M237" t="s">
        <v>583</v>
      </c>
      <c r="N237">
        <v>3</v>
      </c>
      <c r="O237" t="b">
        <v>0</v>
      </c>
      <c r="P237" t="s">
        <v>26</v>
      </c>
      <c r="Q237" t="s">
        <v>38</v>
      </c>
      <c r="R237" t="s">
        <v>76</v>
      </c>
      <c r="T237" t="s">
        <v>28</v>
      </c>
      <c r="U237" s="4">
        <f t="shared" si="6"/>
        <v>46198</v>
      </c>
    </row>
    <row r="238" spans="1:21" x14ac:dyDescent="0.25">
      <c r="A238" t="s">
        <v>29</v>
      </c>
      <c r="B238" s="1">
        <v>46198</v>
      </c>
      <c r="C238" s="2">
        <v>0.84513888888888888</v>
      </c>
      <c r="D238" t="s">
        <v>625</v>
      </c>
      <c r="E238">
        <v>30091</v>
      </c>
      <c r="F238" t="s">
        <v>593</v>
      </c>
      <c r="G238" t="s">
        <v>31</v>
      </c>
      <c r="H238">
        <v>3</v>
      </c>
      <c r="I238" t="s">
        <v>32</v>
      </c>
      <c r="J238" t="s">
        <v>241</v>
      </c>
      <c r="K238" t="s">
        <v>25</v>
      </c>
      <c r="L238" t="s">
        <v>657</v>
      </c>
      <c r="M238" t="s">
        <v>583</v>
      </c>
      <c r="N238">
        <v>3</v>
      </c>
      <c r="O238" t="b">
        <v>0</v>
      </c>
      <c r="P238" t="s">
        <v>26</v>
      </c>
      <c r="Q238" t="s">
        <v>34</v>
      </c>
      <c r="R238" t="s">
        <v>113</v>
      </c>
      <c r="T238" t="s">
        <v>28</v>
      </c>
      <c r="U238" s="4">
        <f t="shared" si="6"/>
        <v>46198</v>
      </c>
    </row>
    <row r="239" spans="1:21" x14ac:dyDescent="0.25">
      <c r="A239" t="s">
        <v>46</v>
      </c>
      <c r="B239" s="1">
        <v>46198</v>
      </c>
      <c r="C239" s="2">
        <v>0.84305555555555556</v>
      </c>
      <c r="D239" t="s">
        <v>626</v>
      </c>
      <c r="E239">
        <v>30080</v>
      </c>
      <c r="F239" t="s">
        <v>595</v>
      </c>
      <c r="G239" t="s">
        <v>23</v>
      </c>
      <c r="H239">
        <v>4</v>
      </c>
      <c r="I239" t="s">
        <v>48</v>
      </c>
      <c r="J239" t="s">
        <v>241</v>
      </c>
      <c r="K239" t="s">
        <v>128</v>
      </c>
      <c r="L239" t="s">
        <v>658</v>
      </c>
      <c r="M239" t="s">
        <v>583</v>
      </c>
      <c r="N239">
        <v>1</v>
      </c>
      <c r="O239" t="b">
        <v>0</v>
      </c>
      <c r="P239" t="s">
        <v>26</v>
      </c>
      <c r="Q239" t="s">
        <v>248</v>
      </c>
      <c r="R239" t="s">
        <v>107</v>
      </c>
      <c r="T239" t="s">
        <v>28</v>
      </c>
      <c r="U239" s="4">
        <f t="shared" si="6"/>
        <v>46198</v>
      </c>
    </row>
    <row r="240" spans="1:21" x14ac:dyDescent="0.25">
      <c r="A240" t="s">
        <v>55</v>
      </c>
      <c r="B240" s="1">
        <v>46198</v>
      </c>
      <c r="C240" s="2">
        <v>0.84305555555555556</v>
      </c>
      <c r="D240" t="s">
        <v>306</v>
      </c>
      <c r="E240">
        <v>30081</v>
      </c>
      <c r="F240" t="s">
        <v>87</v>
      </c>
      <c r="G240" t="s">
        <v>23</v>
      </c>
      <c r="H240">
        <v>4</v>
      </c>
      <c r="I240" t="s">
        <v>57</v>
      </c>
      <c r="J240" t="s">
        <v>241</v>
      </c>
      <c r="K240" t="s">
        <v>128</v>
      </c>
      <c r="L240" t="s">
        <v>411</v>
      </c>
      <c r="M240" t="s">
        <v>583</v>
      </c>
      <c r="N240">
        <v>1</v>
      </c>
      <c r="O240" t="b">
        <v>0</v>
      </c>
      <c r="P240" t="s">
        <v>26</v>
      </c>
      <c r="Q240" t="s">
        <v>38</v>
      </c>
      <c r="R240" t="s">
        <v>88</v>
      </c>
      <c r="T240" t="s">
        <v>28</v>
      </c>
      <c r="U240" s="4">
        <f t="shared" si="6"/>
        <v>46198</v>
      </c>
    </row>
    <row r="241" spans="1:21" x14ac:dyDescent="0.25">
      <c r="A241" t="s">
        <v>55</v>
      </c>
      <c r="B241" s="1">
        <v>46198</v>
      </c>
      <c r="C241" s="2">
        <v>0.84722222222222221</v>
      </c>
      <c r="D241" t="s">
        <v>323</v>
      </c>
      <c r="E241">
        <v>30246</v>
      </c>
      <c r="F241" t="s">
        <v>129</v>
      </c>
      <c r="G241" t="s">
        <v>37</v>
      </c>
      <c r="H241">
        <v>2</v>
      </c>
      <c r="I241" t="s">
        <v>57</v>
      </c>
      <c r="J241" t="s">
        <v>241</v>
      </c>
      <c r="K241" t="s">
        <v>33</v>
      </c>
      <c r="L241" t="s">
        <v>659</v>
      </c>
      <c r="M241" t="s">
        <v>583</v>
      </c>
      <c r="N241">
        <v>4</v>
      </c>
      <c r="O241" t="b">
        <v>0</v>
      </c>
      <c r="P241" t="s">
        <v>26</v>
      </c>
      <c r="Q241" t="s">
        <v>27</v>
      </c>
      <c r="T241" t="s">
        <v>28</v>
      </c>
      <c r="U241" s="4">
        <f t="shared" si="6"/>
        <v>46198</v>
      </c>
    </row>
    <row r="242" spans="1:21" x14ac:dyDescent="0.25">
      <c r="A242" t="s">
        <v>55</v>
      </c>
      <c r="B242" s="1">
        <v>46198</v>
      </c>
      <c r="C242" s="2">
        <v>0.85486111111111107</v>
      </c>
      <c r="D242" t="s">
        <v>627</v>
      </c>
      <c r="E242">
        <v>30103</v>
      </c>
      <c r="F242" t="s">
        <v>597</v>
      </c>
      <c r="G242" t="s">
        <v>37</v>
      </c>
      <c r="H242">
        <v>3</v>
      </c>
      <c r="I242" t="s">
        <v>57</v>
      </c>
      <c r="J242" t="s">
        <v>241</v>
      </c>
      <c r="K242" t="s">
        <v>52</v>
      </c>
      <c r="L242" t="s">
        <v>660</v>
      </c>
      <c r="M242" t="s">
        <v>329</v>
      </c>
      <c r="N242">
        <v>4</v>
      </c>
      <c r="O242" t="b">
        <v>0</v>
      </c>
      <c r="P242" t="s">
        <v>26</v>
      </c>
      <c r="Q242" t="s">
        <v>166</v>
      </c>
      <c r="R242" t="s">
        <v>118</v>
      </c>
      <c r="T242" t="s">
        <v>28</v>
      </c>
      <c r="U242" s="4">
        <f t="shared" si="6"/>
        <v>46198</v>
      </c>
    </row>
    <row r="243" spans="1:21" x14ac:dyDescent="0.25">
      <c r="A243" t="s">
        <v>55</v>
      </c>
      <c r="B243" s="1">
        <v>46198</v>
      </c>
      <c r="C243" s="2">
        <v>0.85555555555555551</v>
      </c>
      <c r="D243" t="s">
        <v>550</v>
      </c>
      <c r="E243">
        <v>30243</v>
      </c>
      <c r="F243" t="s">
        <v>537</v>
      </c>
      <c r="G243" t="s">
        <v>37</v>
      </c>
      <c r="H243">
        <v>3</v>
      </c>
      <c r="I243" t="s">
        <v>57</v>
      </c>
      <c r="J243" t="s">
        <v>241</v>
      </c>
      <c r="K243" t="s">
        <v>52</v>
      </c>
      <c r="L243" t="s">
        <v>661</v>
      </c>
      <c r="M243" t="s">
        <v>583</v>
      </c>
      <c r="N243">
        <v>4</v>
      </c>
      <c r="O243" t="b">
        <v>0</v>
      </c>
      <c r="P243" t="s">
        <v>26</v>
      </c>
      <c r="Q243" t="s">
        <v>27</v>
      </c>
      <c r="T243" t="s">
        <v>28</v>
      </c>
      <c r="U243" s="4">
        <f t="shared" si="6"/>
        <v>46198</v>
      </c>
    </row>
    <row r="244" spans="1:21" x14ac:dyDescent="0.25">
      <c r="A244" t="s">
        <v>21</v>
      </c>
      <c r="B244" s="1">
        <v>46198</v>
      </c>
      <c r="C244" s="2">
        <v>0.81388888888888888</v>
      </c>
      <c r="D244" t="s">
        <v>628</v>
      </c>
      <c r="E244">
        <v>30059</v>
      </c>
      <c r="F244" t="s">
        <v>599</v>
      </c>
      <c r="G244" t="s">
        <v>31</v>
      </c>
      <c r="H244">
        <v>4</v>
      </c>
      <c r="I244" t="s">
        <v>24</v>
      </c>
      <c r="J244" t="s">
        <v>241</v>
      </c>
      <c r="K244" t="s">
        <v>174</v>
      </c>
      <c r="L244" t="s">
        <v>483</v>
      </c>
      <c r="M244" t="s">
        <v>583</v>
      </c>
      <c r="N244">
        <v>3</v>
      </c>
      <c r="O244" t="b">
        <v>0</v>
      </c>
      <c r="P244" t="s">
        <v>26</v>
      </c>
      <c r="Q244" t="s">
        <v>41</v>
      </c>
      <c r="R244" t="s">
        <v>68</v>
      </c>
      <c r="T244" t="s">
        <v>28</v>
      </c>
      <c r="U244" s="4">
        <f t="shared" si="6"/>
        <v>46198</v>
      </c>
    </row>
    <row r="245" spans="1:21" x14ac:dyDescent="0.25">
      <c r="A245" t="s">
        <v>600</v>
      </c>
      <c r="B245" s="1">
        <v>46198</v>
      </c>
      <c r="C245" s="2">
        <v>0.81319444444444444</v>
      </c>
      <c r="D245" t="s">
        <v>302</v>
      </c>
      <c r="E245">
        <v>30664</v>
      </c>
      <c r="F245" t="s">
        <v>78</v>
      </c>
      <c r="G245" t="s">
        <v>37</v>
      </c>
      <c r="H245">
        <v>3</v>
      </c>
      <c r="I245" t="s">
        <v>51</v>
      </c>
      <c r="J245" t="s">
        <v>241</v>
      </c>
      <c r="K245" t="s">
        <v>187</v>
      </c>
      <c r="L245" t="s">
        <v>398</v>
      </c>
      <c r="M245" t="s">
        <v>496</v>
      </c>
      <c r="N245">
        <v>4</v>
      </c>
      <c r="O245" t="b">
        <v>0</v>
      </c>
      <c r="P245" t="s">
        <v>26</v>
      </c>
      <c r="Q245" t="s">
        <v>41</v>
      </c>
      <c r="R245" t="s">
        <v>49</v>
      </c>
      <c r="T245" t="s">
        <v>28</v>
      </c>
      <c r="U245" s="4">
        <f t="shared" si="6"/>
        <v>46198</v>
      </c>
    </row>
    <row r="246" spans="1:21" x14ac:dyDescent="0.25">
      <c r="A246" t="s">
        <v>603</v>
      </c>
      <c r="B246" s="1">
        <v>46198</v>
      </c>
      <c r="C246" s="2">
        <v>0.80902777777777779</v>
      </c>
      <c r="D246" t="s">
        <v>629</v>
      </c>
      <c r="E246">
        <v>30048</v>
      </c>
      <c r="F246" t="s">
        <v>284</v>
      </c>
      <c r="G246" t="s">
        <v>31</v>
      </c>
      <c r="H246">
        <v>3</v>
      </c>
      <c r="I246" t="s">
        <v>32</v>
      </c>
      <c r="J246" t="s">
        <v>241</v>
      </c>
      <c r="K246" t="s">
        <v>187</v>
      </c>
      <c r="L246" t="s">
        <v>662</v>
      </c>
      <c r="M246" t="s">
        <v>583</v>
      </c>
      <c r="N246">
        <v>3</v>
      </c>
      <c r="O246" t="b">
        <v>0</v>
      </c>
      <c r="P246" t="s">
        <v>26</v>
      </c>
      <c r="Q246" t="s">
        <v>38</v>
      </c>
      <c r="R246" t="s">
        <v>109</v>
      </c>
      <c r="T246" t="s">
        <v>28</v>
      </c>
      <c r="U246" s="4">
        <f t="shared" si="6"/>
        <v>46198</v>
      </c>
    </row>
    <row r="247" spans="1:21" x14ac:dyDescent="0.25">
      <c r="A247" t="s">
        <v>603</v>
      </c>
      <c r="B247" s="1">
        <v>46198</v>
      </c>
      <c r="C247" s="2">
        <v>0.84305555555555556</v>
      </c>
      <c r="D247" t="s">
        <v>304</v>
      </c>
      <c r="E247">
        <v>30239</v>
      </c>
      <c r="F247" t="s">
        <v>84</v>
      </c>
      <c r="G247" t="s">
        <v>31</v>
      </c>
      <c r="H247">
        <v>3</v>
      </c>
      <c r="I247" t="s">
        <v>32</v>
      </c>
      <c r="J247" t="s">
        <v>241</v>
      </c>
      <c r="K247" t="s">
        <v>25</v>
      </c>
      <c r="L247" t="s">
        <v>663</v>
      </c>
      <c r="M247" t="s">
        <v>583</v>
      </c>
      <c r="N247">
        <v>3</v>
      </c>
      <c r="O247" t="b">
        <v>0</v>
      </c>
      <c r="P247" t="s">
        <v>26</v>
      </c>
      <c r="Q247" t="s">
        <v>27</v>
      </c>
      <c r="T247" t="s">
        <v>28</v>
      </c>
      <c r="U247" s="4">
        <f t="shared" si="6"/>
        <v>46198</v>
      </c>
    </row>
    <row r="248" spans="1:21" x14ac:dyDescent="0.25">
      <c r="A248" t="s">
        <v>603</v>
      </c>
      <c r="B248" s="1">
        <v>46198</v>
      </c>
      <c r="C248" s="2">
        <v>0.84583333333333333</v>
      </c>
      <c r="D248" t="s">
        <v>630</v>
      </c>
      <c r="E248">
        <v>33058</v>
      </c>
      <c r="F248" t="s">
        <v>279</v>
      </c>
      <c r="G248" t="s">
        <v>31</v>
      </c>
      <c r="H248">
        <v>3</v>
      </c>
      <c r="I248" t="s">
        <v>32</v>
      </c>
      <c r="J248" t="s">
        <v>241</v>
      </c>
      <c r="K248" t="s">
        <v>128</v>
      </c>
      <c r="L248" t="s">
        <v>489</v>
      </c>
      <c r="M248" t="s">
        <v>676</v>
      </c>
      <c r="N248">
        <v>3</v>
      </c>
      <c r="O248" t="b">
        <v>0</v>
      </c>
      <c r="P248" t="s">
        <v>26</v>
      </c>
      <c r="Q248" t="s">
        <v>41</v>
      </c>
      <c r="R248" t="s">
        <v>42</v>
      </c>
      <c r="T248" t="s">
        <v>28</v>
      </c>
      <c r="U248" s="4">
        <f t="shared" si="6"/>
        <v>46198</v>
      </c>
    </row>
    <row r="249" spans="1:21" x14ac:dyDescent="0.25">
      <c r="A249" t="s">
        <v>77</v>
      </c>
      <c r="B249" s="1">
        <v>46198</v>
      </c>
      <c r="C249" s="2">
        <v>0.84513888888888888</v>
      </c>
      <c r="D249" t="s">
        <v>324</v>
      </c>
      <c r="E249">
        <v>30240</v>
      </c>
      <c r="F249" t="s">
        <v>131</v>
      </c>
      <c r="G249" t="s">
        <v>23</v>
      </c>
      <c r="H249">
        <v>3</v>
      </c>
      <c r="I249" t="s">
        <v>51</v>
      </c>
      <c r="J249" t="s">
        <v>241</v>
      </c>
      <c r="K249" t="s">
        <v>25</v>
      </c>
      <c r="L249" t="s">
        <v>664</v>
      </c>
      <c r="M249" t="s">
        <v>583</v>
      </c>
      <c r="N249">
        <v>1</v>
      </c>
      <c r="O249" t="b">
        <v>0</v>
      </c>
      <c r="P249" t="s">
        <v>26</v>
      </c>
      <c r="Q249" t="s">
        <v>27</v>
      </c>
      <c r="S249" t="s">
        <v>606</v>
      </c>
      <c r="T249" t="s">
        <v>28</v>
      </c>
      <c r="U249" s="4">
        <f t="shared" si="6"/>
        <v>46198</v>
      </c>
    </row>
    <row r="250" spans="1:21" x14ac:dyDescent="0.25">
      <c r="A250" t="s">
        <v>104</v>
      </c>
      <c r="B250" s="1">
        <v>46198</v>
      </c>
      <c r="C250" s="2">
        <v>0.84513888888888888</v>
      </c>
      <c r="D250" t="s">
        <v>288</v>
      </c>
      <c r="E250">
        <v>30241</v>
      </c>
      <c r="F250" t="s">
        <v>22</v>
      </c>
      <c r="G250" t="s">
        <v>23</v>
      </c>
      <c r="H250">
        <v>3</v>
      </c>
      <c r="I250" t="s">
        <v>24</v>
      </c>
      <c r="J250" t="s">
        <v>241</v>
      </c>
      <c r="K250" t="s">
        <v>25</v>
      </c>
      <c r="L250" t="s">
        <v>665</v>
      </c>
      <c r="M250" t="s">
        <v>583</v>
      </c>
      <c r="N250">
        <v>1</v>
      </c>
      <c r="O250" t="b">
        <v>0</v>
      </c>
      <c r="P250" t="s">
        <v>26</v>
      </c>
      <c r="Q250" t="s">
        <v>27</v>
      </c>
      <c r="S250" t="s">
        <v>612</v>
      </c>
      <c r="T250" t="s">
        <v>28</v>
      </c>
      <c r="U250" s="4">
        <f t="shared" si="6"/>
        <v>46198</v>
      </c>
    </row>
    <row r="251" spans="1:21" x14ac:dyDescent="0.25">
      <c r="A251" t="s">
        <v>130</v>
      </c>
      <c r="B251" s="1">
        <v>46198</v>
      </c>
      <c r="C251" s="2">
        <v>0.81388888888888888</v>
      </c>
      <c r="D251" t="s">
        <v>293</v>
      </c>
      <c r="E251">
        <v>30665</v>
      </c>
      <c r="F251" t="s">
        <v>47</v>
      </c>
      <c r="G251" t="s">
        <v>37</v>
      </c>
      <c r="H251">
        <v>3</v>
      </c>
      <c r="I251" t="s">
        <v>48</v>
      </c>
      <c r="J251" t="s">
        <v>241</v>
      </c>
      <c r="K251" t="s">
        <v>174</v>
      </c>
      <c r="L251" t="s">
        <v>365</v>
      </c>
      <c r="M251" t="s">
        <v>413</v>
      </c>
      <c r="N251">
        <v>4</v>
      </c>
      <c r="O251" t="b">
        <v>0</v>
      </c>
      <c r="P251" t="s">
        <v>26</v>
      </c>
      <c r="Q251" t="s">
        <v>41</v>
      </c>
      <c r="R251" t="s">
        <v>49</v>
      </c>
      <c r="T251" t="s">
        <v>28</v>
      </c>
      <c r="U251" s="4">
        <f t="shared" si="6"/>
        <v>46198</v>
      </c>
    </row>
    <row r="252" spans="1:21" x14ac:dyDescent="0.25">
      <c r="A252" t="s">
        <v>130</v>
      </c>
      <c r="B252" s="1">
        <v>46198</v>
      </c>
      <c r="C252" s="2">
        <v>0.85486111111111107</v>
      </c>
      <c r="D252" t="s">
        <v>631</v>
      </c>
      <c r="E252">
        <v>30109</v>
      </c>
      <c r="F252" t="s">
        <v>96</v>
      </c>
      <c r="G252" t="s">
        <v>23</v>
      </c>
      <c r="H252">
        <v>3</v>
      </c>
      <c r="I252" t="s">
        <v>48</v>
      </c>
      <c r="J252" t="s">
        <v>241</v>
      </c>
      <c r="K252" t="s">
        <v>52</v>
      </c>
      <c r="L252" t="s">
        <v>489</v>
      </c>
      <c r="M252" t="s">
        <v>368</v>
      </c>
      <c r="N252">
        <v>1</v>
      </c>
      <c r="O252" t="b">
        <v>0</v>
      </c>
      <c r="P252" t="s">
        <v>26</v>
      </c>
      <c r="Q252" t="s">
        <v>41</v>
      </c>
      <c r="R252" t="s">
        <v>42</v>
      </c>
      <c r="T252" t="s">
        <v>28</v>
      </c>
      <c r="U252" s="4">
        <f t="shared" si="6"/>
        <v>46198</v>
      </c>
    </row>
    <row r="253" spans="1:21" x14ac:dyDescent="0.25">
      <c r="A253" t="s">
        <v>141</v>
      </c>
      <c r="B253" s="1">
        <v>46198</v>
      </c>
      <c r="C253" s="2">
        <v>0.84444444444444444</v>
      </c>
      <c r="D253" t="s">
        <v>292</v>
      </c>
      <c r="E253">
        <v>30090</v>
      </c>
      <c r="F253" t="s">
        <v>43</v>
      </c>
      <c r="G253" t="s">
        <v>37</v>
      </c>
      <c r="H253">
        <v>4</v>
      </c>
      <c r="I253" t="s">
        <v>74</v>
      </c>
      <c r="J253" t="s">
        <v>241</v>
      </c>
      <c r="K253" t="s">
        <v>33</v>
      </c>
      <c r="L253" t="s">
        <v>580</v>
      </c>
      <c r="M253" t="s">
        <v>677</v>
      </c>
      <c r="N253">
        <v>4</v>
      </c>
      <c r="O253" t="b">
        <v>0</v>
      </c>
      <c r="P253" t="s">
        <v>26</v>
      </c>
      <c r="Q253" t="s">
        <v>44</v>
      </c>
      <c r="R253" t="s">
        <v>45</v>
      </c>
      <c r="T253" t="s">
        <v>28</v>
      </c>
      <c r="U253" s="4">
        <f t="shared" si="6"/>
        <v>46198</v>
      </c>
    </row>
    <row r="254" spans="1:21" x14ac:dyDescent="0.25">
      <c r="A254" t="s">
        <v>86</v>
      </c>
      <c r="B254" s="1">
        <v>46198</v>
      </c>
      <c r="C254" s="2">
        <v>0.85486111111111107</v>
      </c>
      <c r="D254" t="s">
        <v>550</v>
      </c>
      <c r="E254">
        <v>30243</v>
      </c>
      <c r="F254" t="s">
        <v>537</v>
      </c>
      <c r="G254" t="s">
        <v>23</v>
      </c>
      <c r="H254">
        <v>3</v>
      </c>
      <c r="I254" t="s">
        <v>57</v>
      </c>
      <c r="J254" t="s">
        <v>241</v>
      </c>
      <c r="K254" t="s">
        <v>52</v>
      </c>
      <c r="L254" t="s">
        <v>666</v>
      </c>
      <c r="M254" t="s">
        <v>583</v>
      </c>
      <c r="N254">
        <v>1</v>
      </c>
      <c r="O254" t="b">
        <v>0</v>
      </c>
      <c r="P254" t="s">
        <v>26</v>
      </c>
      <c r="Q254" t="s">
        <v>27</v>
      </c>
      <c r="T254" t="s">
        <v>28</v>
      </c>
      <c r="U254" s="4">
        <f t="shared" si="6"/>
        <v>46198</v>
      </c>
    </row>
    <row r="255" spans="1:21" x14ac:dyDescent="0.25">
      <c r="A255" t="s">
        <v>529</v>
      </c>
      <c r="B255" s="1">
        <v>46202</v>
      </c>
      <c r="C255" s="2">
        <v>0.8666666666666667</v>
      </c>
      <c r="D255" t="s">
        <v>348</v>
      </c>
      <c r="E255">
        <v>29762</v>
      </c>
      <c r="F255" t="s">
        <v>171</v>
      </c>
      <c r="G255" t="s">
        <v>37</v>
      </c>
      <c r="H255">
        <v>2</v>
      </c>
      <c r="I255" t="s">
        <v>67</v>
      </c>
      <c r="J255" t="s">
        <v>584</v>
      </c>
      <c r="K255" t="s">
        <v>590</v>
      </c>
      <c r="L255" t="s">
        <v>423</v>
      </c>
      <c r="M255" t="s">
        <v>583</v>
      </c>
      <c r="N255">
        <v>4</v>
      </c>
      <c r="O255" t="b">
        <v>0</v>
      </c>
      <c r="P255" t="s">
        <v>26</v>
      </c>
      <c r="Q255" t="s">
        <v>27</v>
      </c>
      <c r="S255" t="s">
        <v>591</v>
      </c>
      <c r="T255" t="s">
        <v>28</v>
      </c>
      <c r="U255" s="4">
        <f t="shared" si="6"/>
        <v>46202</v>
      </c>
    </row>
    <row r="256" spans="1:21" x14ac:dyDescent="0.25">
      <c r="A256" t="s">
        <v>529</v>
      </c>
      <c r="B256" s="1">
        <v>46202</v>
      </c>
      <c r="C256" s="2">
        <v>0.86736111111111114</v>
      </c>
      <c r="D256" t="s">
        <v>349</v>
      </c>
      <c r="E256">
        <v>29765</v>
      </c>
      <c r="F256" t="s">
        <v>172</v>
      </c>
      <c r="G256" t="s">
        <v>37</v>
      </c>
      <c r="H256">
        <v>1</v>
      </c>
      <c r="I256" t="s">
        <v>67</v>
      </c>
      <c r="J256" t="s">
        <v>584</v>
      </c>
      <c r="K256" t="s">
        <v>170</v>
      </c>
      <c r="L256" t="s">
        <v>446</v>
      </c>
      <c r="M256" t="s">
        <v>583</v>
      </c>
      <c r="N256">
        <v>4</v>
      </c>
      <c r="O256" t="b">
        <v>0</v>
      </c>
      <c r="P256" t="s">
        <v>26</v>
      </c>
      <c r="Q256" t="s">
        <v>27</v>
      </c>
      <c r="T256" t="s">
        <v>28</v>
      </c>
      <c r="U256" s="4">
        <f t="shared" si="6"/>
        <v>46202</v>
      </c>
    </row>
    <row r="257" spans="1:21" x14ac:dyDescent="0.25">
      <c r="A257" t="s">
        <v>29</v>
      </c>
      <c r="B257" s="1">
        <v>46202</v>
      </c>
      <c r="C257" s="2">
        <v>0.8354166666666667</v>
      </c>
      <c r="D257" t="s">
        <v>391</v>
      </c>
      <c r="E257">
        <v>29965</v>
      </c>
      <c r="F257" t="s">
        <v>277</v>
      </c>
      <c r="G257" t="s">
        <v>37</v>
      </c>
      <c r="H257">
        <v>4</v>
      </c>
      <c r="I257" t="s">
        <v>32</v>
      </c>
      <c r="J257" t="s">
        <v>100</v>
      </c>
      <c r="K257" t="s">
        <v>257</v>
      </c>
      <c r="L257" t="s">
        <v>667</v>
      </c>
      <c r="M257" t="s">
        <v>583</v>
      </c>
      <c r="N257">
        <v>4</v>
      </c>
      <c r="O257" t="b">
        <v>0</v>
      </c>
      <c r="P257" t="s">
        <v>26</v>
      </c>
      <c r="Q257" t="s">
        <v>38</v>
      </c>
      <c r="R257" t="s">
        <v>54</v>
      </c>
      <c r="T257" t="s">
        <v>28</v>
      </c>
      <c r="U257" s="4">
        <f t="shared" si="6"/>
        <v>46202</v>
      </c>
    </row>
    <row r="258" spans="1:21" x14ac:dyDescent="0.25">
      <c r="A258" t="s">
        <v>29</v>
      </c>
      <c r="B258" s="1">
        <v>46202</v>
      </c>
      <c r="C258" s="2">
        <v>0.84236111111111112</v>
      </c>
      <c r="D258" t="s">
        <v>632</v>
      </c>
      <c r="E258">
        <v>30028</v>
      </c>
      <c r="F258" t="s">
        <v>115</v>
      </c>
      <c r="G258" t="s">
        <v>37</v>
      </c>
      <c r="H258">
        <v>1</v>
      </c>
      <c r="I258" t="s">
        <v>32</v>
      </c>
      <c r="J258" t="s">
        <v>100</v>
      </c>
      <c r="K258" t="s">
        <v>203</v>
      </c>
      <c r="L258" t="s">
        <v>396</v>
      </c>
      <c r="M258" t="s">
        <v>678</v>
      </c>
      <c r="N258">
        <v>4</v>
      </c>
      <c r="O258" t="b">
        <v>0</v>
      </c>
      <c r="P258" t="s">
        <v>26</v>
      </c>
      <c r="Q258" t="s">
        <v>41</v>
      </c>
      <c r="R258" t="s">
        <v>42</v>
      </c>
      <c r="T258" t="s">
        <v>28</v>
      </c>
      <c r="U258" s="4">
        <f t="shared" si="6"/>
        <v>46202</v>
      </c>
    </row>
    <row r="259" spans="1:21" x14ac:dyDescent="0.25">
      <c r="A259" t="s">
        <v>29</v>
      </c>
      <c r="B259" s="1">
        <v>46202</v>
      </c>
      <c r="C259" s="2">
        <v>0.8666666666666667</v>
      </c>
      <c r="D259" t="s">
        <v>362</v>
      </c>
      <c r="E259">
        <v>29763</v>
      </c>
      <c r="F259" t="s">
        <v>194</v>
      </c>
      <c r="G259" t="s">
        <v>37</v>
      </c>
      <c r="H259">
        <v>2</v>
      </c>
      <c r="I259" t="s">
        <v>32</v>
      </c>
      <c r="J259" t="s">
        <v>584</v>
      </c>
      <c r="K259" t="s">
        <v>590</v>
      </c>
      <c r="L259" t="s">
        <v>624</v>
      </c>
      <c r="M259" t="s">
        <v>583</v>
      </c>
      <c r="N259">
        <v>4</v>
      </c>
      <c r="O259" t="b">
        <v>0</v>
      </c>
      <c r="P259" t="s">
        <v>26</v>
      </c>
      <c r="Q259" t="s">
        <v>27</v>
      </c>
      <c r="S259" t="s">
        <v>594</v>
      </c>
      <c r="T259" t="s">
        <v>28</v>
      </c>
      <c r="U259" s="4">
        <f t="shared" si="6"/>
        <v>46202</v>
      </c>
    </row>
    <row r="260" spans="1:21" x14ac:dyDescent="0.25">
      <c r="A260" t="s">
        <v>46</v>
      </c>
      <c r="B260" s="1">
        <v>46202</v>
      </c>
      <c r="C260" s="2">
        <v>0.85416666666666663</v>
      </c>
      <c r="D260" t="s">
        <v>633</v>
      </c>
      <c r="E260">
        <v>29923</v>
      </c>
      <c r="F260" t="s">
        <v>596</v>
      </c>
      <c r="G260" t="s">
        <v>23</v>
      </c>
      <c r="H260">
        <v>0</v>
      </c>
      <c r="I260" t="s">
        <v>48</v>
      </c>
      <c r="J260" t="s">
        <v>100</v>
      </c>
      <c r="K260" t="s">
        <v>203</v>
      </c>
      <c r="L260" t="s">
        <v>668</v>
      </c>
      <c r="M260" t="s">
        <v>583</v>
      </c>
      <c r="N260">
        <v>1</v>
      </c>
      <c r="O260" t="b">
        <v>0</v>
      </c>
      <c r="P260" t="s">
        <v>26</v>
      </c>
      <c r="Q260" t="s">
        <v>41</v>
      </c>
      <c r="R260" t="s">
        <v>282</v>
      </c>
      <c r="T260" t="s">
        <v>28</v>
      </c>
      <c r="U260" s="4">
        <f t="shared" si="6"/>
        <v>46202</v>
      </c>
    </row>
    <row r="261" spans="1:21" x14ac:dyDescent="0.25">
      <c r="A261" t="s">
        <v>153</v>
      </c>
      <c r="B261" s="1">
        <v>46202</v>
      </c>
      <c r="C261" s="2">
        <v>0.85763888888888884</v>
      </c>
      <c r="D261" t="s">
        <v>334</v>
      </c>
      <c r="E261">
        <v>29992</v>
      </c>
      <c r="F261" t="s">
        <v>146</v>
      </c>
      <c r="G261" t="s">
        <v>23</v>
      </c>
      <c r="H261">
        <v>0</v>
      </c>
      <c r="I261" t="s">
        <v>67</v>
      </c>
      <c r="J261" t="s">
        <v>100</v>
      </c>
      <c r="K261" t="s">
        <v>247</v>
      </c>
      <c r="L261" t="s">
        <v>669</v>
      </c>
      <c r="M261" t="s">
        <v>583</v>
      </c>
      <c r="N261">
        <v>1</v>
      </c>
      <c r="O261" t="b">
        <v>0</v>
      </c>
      <c r="P261" t="s">
        <v>26</v>
      </c>
      <c r="Q261" t="s">
        <v>112</v>
      </c>
      <c r="R261" t="s">
        <v>147</v>
      </c>
      <c r="T261" t="s">
        <v>28</v>
      </c>
      <c r="U261" s="4">
        <f t="shared" si="6"/>
        <v>46202</v>
      </c>
    </row>
    <row r="262" spans="1:21" x14ac:dyDescent="0.25">
      <c r="A262" t="s">
        <v>28</v>
      </c>
      <c r="B262" s="1">
        <v>46202</v>
      </c>
      <c r="C262" s="2">
        <v>0.8041666666666667</v>
      </c>
      <c r="D262" t="s">
        <v>369</v>
      </c>
      <c r="E262">
        <v>30448</v>
      </c>
      <c r="F262" t="s">
        <v>209</v>
      </c>
      <c r="G262" t="s">
        <v>616</v>
      </c>
      <c r="H262">
        <v>0</v>
      </c>
      <c r="I262" t="s">
        <v>51</v>
      </c>
      <c r="J262" t="s">
        <v>100</v>
      </c>
      <c r="K262" t="s">
        <v>205</v>
      </c>
      <c r="L262" t="s">
        <v>670</v>
      </c>
      <c r="M262" t="s">
        <v>679</v>
      </c>
      <c r="N262">
        <v>1</v>
      </c>
      <c r="O262" t="b">
        <v>1</v>
      </c>
      <c r="P262" t="s">
        <v>26</v>
      </c>
      <c r="Q262" t="s">
        <v>41</v>
      </c>
      <c r="R262" t="s">
        <v>49</v>
      </c>
      <c r="T262" t="s">
        <v>28</v>
      </c>
      <c r="U262" s="4">
        <f t="shared" si="6"/>
        <v>46202</v>
      </c>
    </row>
    <row r="263" spans="1:21" x14ac:dyDescent="0.25">
      <c r="A263" t="s">
        <v>55</v>
      </c>
      <c r="B263" s="1">
        <v>46202</v>
      </c>
      <c r="C263" s="2">
        <v>0.85555555555555551</v>
      </c>
      <c r="D263" t="s">
        <v>549</v>
      </c>
      <c r="E263">
        <v>29994</v>
      </c>
      <c r="F263" t="s">
        <v>535</v>
      </c>
      <c r="G263" t="s">
        <v>23</v>
      </c>
      <c r="H263">
        <v>3</v>
      </c>
      <c r="I263" t="s">
        <v>57</v>
      </c>
      <c r="J263" t="s">
        <v>100</v>
      </c>
      <c r="K263" t="s">
        <v>247</v>
      </c>
      <c r="L263" t="s">
        <v>671</v>
      </c>
      <c r="M263" t="s">
        <v>583</v>
      </c>
      <c r="N263">
        <v>1</v>
      </c>
      <c r="O263" t="b">
        <v>0</v>
      </c>
      <c r="P263" t="s">
        <v>26</v>
      </c>
      <c r="Q263" t="s">
        <v>112</v>
      </c>
      <c r="R263" t="s">
        <v>147</v>
      </c>
      <c r="T263" t="s">
        <v>28</v>
      </c>
      <c r="U263" s="4">
        <f t="shared" si="6"/>
        <v>46202</v>
      </c>
    </row>
    <row r="264" spans="1:21" x14ac:dyDescent="0.25">
      <c r="A264" t="s">
        <v>72</v>
      </c>
      <c r="B264" s="1">
        <v>46202</v>
      </c>
      <c r="C264" s="2">
        <v>0.82638888888888884</v>
      </c>
      <c r="D264" t="s">
        <v>370</v>
      </c>
      <c r="E264">
        <v>30248</v>
      </c>
      <c r="F264" t="s">
        <v>210</v>
      </c>
      <c r="G264" t="s">
        <v>23</v>
      </c>
      <c r="H264">
        <v>4</v>
      </c>
      <c r="I264" t="s">
        <v>74</v>
      </c>
      <c r="J264" t="s">
        <v>100</v>
      </c>
      <c r="K264" t="s">
        <v>203</v>
      </c>
      <c r="L264" t="s">
        <v>301</v>
      </c>
      <c r="M264" t="s">
        <v>583</v>
      </c>
      <c r="N264">
        <v>1</v>
      </c>
      <c r="O264" t="b">
        <v>0</v>
      </c>
      <c r="P264" t="s">
        <v>26</v>
      </c>
      <c r="Q264" t="s">
        <v>27</v>
      </c>
      <c r="T264" t="s">
        <v>28</v>
      </c>
      <c r="U264" s="4">
        <f t="shared" si="6"/>
        <v>46202</v>
      </c>
    </row>
    <row r="265" spans="1:21" x14ac:dyDescent="0.25">
      <c r="A265" t="s">
        <v>72</v>
      </c>
      <c r="B265" s="1">
        <v>46202</v>
      </c>
      <c r="C265" s="2">
        <v>0.82708333333333328</v>
      </c>
      <c r="D265" t="s">
        <v>634</v>
      </c>
      <c r="E265">
        <v>30030</v>
      </c>
      <c r="F265" t="s">
        <v>598</v>
      </c>
      <c r="G265" t="s">
        <v>23</v>
      </c>
      <c r="H265">
        <v>4</v>
      </c>
      <c r="I265" t="s">
        <v>74</v>
      </c>
      <c r="J265" t="s">
        <v>100</v>
      </c>
      <c r="K265" t="s">
        <v>203</v>
      </c>
      <c r="L265" t="s">
        <v>672</v>
      </c>
      <c r="M265" t="s">
        <v>583</v>
      </c>
      <c r="N265">
        <v>1</v>
      </c>
      <c r="O265" t="b">
        <v>0</v>
      </c>
      <c r="P265" t="s">
        <v>26</v>
      </c>
      <c r="Q265" t="s">
        <v>34</v>
      </c>
      <c r="R265" t="s">
        <v>54</v>
      </c>
      <c r="T265" t="s">
        <v>28</v>
      </c>
      <c r="U265" s="4">
        <f t="shared" si="6"/>
        <v>46202</v>
      </c>
    </row>
    <row r="266" spans="1:21" x14ac:dyDescent="0.25">
      <c r="A266" t="s">
        <v>600</v>
      </c>
      <c r="B266" s="1">
        <v>46202</v>
      </c>
      <c r="C266" s="2">
        <v>0.81041666666666667</v>
      </c>
      <c r="D266" t="s">
        <v>633</v>
      </c>
      <c r="E266">
        <v>29923</v>
      </c>
      <c r="F266" t="s">
        <v>596</v>
      </c>
      <c r="G266" t="s">
        <v>23</v>
      </c>
      <c r="H266">
        <v>3</v>
      </c>
      <c r="I266" t="s">
        <v>51</v>
      </c>
      <c r="J266" t="s">
        <v>100</v>
      </c>
      <c r="K266" t="s">
        <v>205</v>
      </c>
      <c r="L266" t="s">
        <v>668</v>
      </c>
      <c r="M266" t="s">
        <v>583</v>
      </c>
      <c r="N266">
        <v>1</v>
      </c>
      <c r="O266" t="b">
        <v>0</v>
      </c>
      <c r="P266" t="s">
        <v>26</v>
      </c>
      <c r="Q266" t="s">
        <v>41</v>
      </c>
      <c r="R266" t="s">
        <v>282</v>
      </c>
      <c r="T266" t="s">
        <v>28</v>
      </c>
      <c r="U266" s="4">
        <f t="shared" si="6"/>
        <v>46202</v>
      </c>
    </row>
    <row r="267" spans="1:21" x14ac:dyDescent="0.25">
      <c r="A267" t="s">
        <v>600</v>
      </c>
      <c r="B267" s="1">
        <v>46202</v>
      </c>
      <c r="C267" s="2">
        <v>0.85416666666666663</v>
      </c>
      <c r="D267" t="s">
        <v>344</v>
      </c>
      <c r="E267">
        <v>32405</v>
      </c>
      <c r="F267" t="s">
        <v>161</v>
      </c>
      <c r="G267" t="s">
        <v>23</v>
      </c>
      <c r="H267">
        <v>4</v>
      </c>
      <c r="I267" t="s">
        <v>51</v>
      </c>
      <c r="J267" t="s">
        <v>100</v>
      </c>
      <c r="K267" t="s">
        <v>247</v>
      </c>
      <c r="L267" t="s">
        <v>639</v>
      </c>
      <c r="M267" t="s">
        <v>583</v>
      </c>
      <c r="N267">
        <v>1</v>
      </c>
      <c r="O267" t="b">
        <v>0</v>
      </c>
      <c r="P267" t="s">
        <v>26</v>
      </c>
      <c r="Q267" t="s">
        <v>162</v>
      </c>
      <c r="S267" t="s">
        <v>602</v>
      </c>
      <c r="T267" t="s">
        <v>28</v>
      </c>
      <c r="U267" s="4">
        <f t="shared" si="6"/>
        <v>46202</v>
      </c>
    </row>
    <row r="268" spans="1:21" x14ac:dyDescent="0.25">
      <c r="A268" t="s">
        <v>89</v>
      </c>
      <c r="B268" s="1">
        <v>46202</v>
      </c>
      <c r="C268" s="2">
        <v>0.82708333333333328</v>
      </c>
      <c r="D268" t="s">
        <v>635</v>
      </c>
      <c r="E268">
        <v>30029</v>
      </c>
      <c r="F268" t="s">
        <v>99</v>
      </c>
      <c r="G268" t="s">
        <v>37</v>
      </c>
      <c r="H268">
        <v>3</v>
      </c>
      <c r="I268" t="s">
        <v>74</v>
      </c>
      <c r="J268" t="s">
        <v>100</v>
      </c>
      <c r="K268" t="s">
        <v>203</v>
      </c>
      <c r="L268" t="s">
        <v>556</v>
      </c>
      <c r="M268" t="s">
        <v>583</v>
      </c>
      <c r="N268">
        <v>4</v>
      </c>
      <c r="O268" t="b">
        <v>0</v>
      </c>
      <c r="P268" t="s">
        <v>26</v>
      </c>
      <c r="Q268" t="s">
        <v>53</v>
      </c>
      <c r="R268" t="s">
        <v>102</v>
      </c>
      <c r="T268" t="s">
        <v>28</v>
      </c>
      <c r="U268" s="4">
        <f t="shared" si="6"/>
        <v>46202</v>
      </c>
    </row>
    <row r="269" spans="1:21" x14ac:dyDescent="0.25">
      <c r="A269" t="s">
        <v>89</v>
      </c>
      <c r="B269" s="1">
        <v>46202</v>
      </c>
      <c r="C269" s="2">
        <v>0.85555555555555551</v>
      </c>
      <c r="D269" t="s">
        <v>393</v>
      </c>
      <c r="E269">
        <v>30236</v>
      </c>
      <c r="F269" t="s">
        <v>281</v>
      </c>
      <c r="G269" t="s">
        <v>23</v>
      </c>
      <c r="H269">
        <v>3</v>
      </c>
      <c r="I269" t="s">
        <v>74</v>
      </c>
      <c r="J269" t="s">
        <v>100</v>
      </c>
      <c r="K269" t="s">
        <v>247</v>
      </c>
      <c r="L269" t="s">
        <v>555</v>
      </c>
      <c r="M269" t="s">
        <v>583</v>
      </c>
      <c r="N269">
        <v>1</v>
      </c>
      <c r="O269" t="b">
        <v>0</v>
      </c>
      <c r="P269" t="s">
        <v>26</v>
      </c>
      <c r="Q269" t="s">
        <v>27</v>
      </c>
      <c r="S269" t="s">
        <v>607</v>
      </c>
      <c r="T269" t="s">
        <v>28</v>
      </c>
      <c r="U269" s="4">
        <f t="shared" si="6"/>
        <v>46202</v>
      </c>
    </row>
    <row r="270" spans="1:21" x14ac:dyDescent="0.25">
      <c r="A270" t="s">
        <v>83</v>
      </c>
      <c r="B270" s="1">
        <v>46202</v>
      </c>
      <c r="C270" s="2">
        <v>0.80486111111111114</v>
      </c>
      <c r="D270" t="s">
        <v>636</v>
      </c>
      <c r="E270">
        <v>29925</v>
      </c>
      <c r="F270" t="s">
        <v>609</v>
      </c>
      <c r="G270" t="s">
        <v>23</v>
      </c>
      <c r="H270">
        <v>3</v>
      </c>
      <c r="I270" t="s">
        <v>32</v>
      </c>
      <c r="J270" t="s">
        <v>100</v>
      </c>
      <c r="K270" t="s">
        <v>205</v>
      </c>
      <c r="L270" t="s">
        <v>673</v>
      </c>
      <c r="M270" t="s">
        <v>583</v>
      </c>
      <c r="N270">
        <v>1</v>
      </c>
      <c r="O270" t="b">
        <v>0</v>
      </c>
      <c r="P270" t="s">
        <v>26</v>
      </c>
      <c r="Q270" t="s">
        <v>112</v>
      </c>
      <c r="R270" t="s">
        <v>147</v>
      </c>
      <c r="T270" t="s">
        <v>28</v>
      </c>
      <c r="U270" s="4">
        <f t="shared" si="6"/>
        <v>46202</v>
      </c>
    </row>
    <row r="271" spans="1:21" x14ac:dyDescent="0.25">
      <c r="A271" t="s">
        <v>83</v>
      </c>
      <c r="B271" s="1">
        <v>46202</v>
      </c>
      <c r="C271" s="2">
        <v>0.8208333333333333</v>
      </c>
      <c r="D271" t="s">
        <v>636</v>
      </c>
      <c r="E271">
        <v>29925</v>
      </c>
      <c r="F271" t="s">
        <v>609</v>
      </c>
      <c r="G271" t="s">
        <v>23</v>
      </c>
      <c r="H271">
        <v>0</v>
      </c>
      <c r="I271" t="s">
        <v>32</v>
      </c>
      <c r="J271" t="s">
        <v>100</v>
      </c>
      <c r="K271" t="s">
        <v>203</v>
      </c>
      <c r="L271" t="s">
        <v>673</v>
      </c>
      <c r="M271" t="s">
        <v>583</v>
      </c>
      <c r="N271">
        <v>1</v>
      </c>
      <c r="O271" t="b">
        <v>0</v>
      </c>
      <c r="P271" t="s">
        <v>26</v>
      </c>
      <c r="Q271" t="s">
        <v>112</v>
      </c>
      <c r="R271" t="s">
        <v>147</v>
      </c>
      <c r="T271" t="s">
        <v>28</v>
      </c>
      <c r="U271" s="4">
        <f t="shared" si="6"/>
        <v>46202</v>
      </c>
    </row>
    <row r="272" spans="1:21" x14ac:dyDescent="0.25">
      <c r="A272" t="s">
        <v>278</v>
      </c>
      <c r="B272" s="1">
        <v>46202</v>
      </c>
      <c r="C272" s="2">
        <v>0.85277777777777775</v>
      </c>
      <c r="D272" t="s">
        <v>637</v>
      </c>
      <c r="E272">
        <v>29977</v>
      </c>
      <c r="F272" t="s">
        <v>604</v>
      </c>
      <c r="G272" t="s">
        <v>37</v>
      </c>
      <c r="H272">
        <v>3</v>
      </c>
      <c r="I272" t="s">
        <v>48</v>
      </c>
      <c r="J272" t="s">
        <v>100</v>
      </c>
      <c r="K272" t="s">
        <v>257</v>
      </c>
      <c r="L272" t="s">
        <v>674</v>
      </c>
      <c r="M272" t="s">
        <v>583</v>
      </c>
      <c r="N272">
        <v>4</v>
      </c>
      <c r="O272" t="b">
        <v>0</v>
      </c>
      <c r="P272" t="s">
        <v>26</v>
      </c>
      <c r="Q272" t="s">
        <v>112</v>
      </c>
      <c r="R272" t="s">
        <v>120</v>
      </c>
      <c r="T272" t="s">
        <v>28</v>
      </c>
      <c r="U272" s="4">
        <f t="shared" si="6"/>
        <v>46202</v>
      </c>
    </row>
    <row r="273" spans="1:21" x14ac:dyDescent="0.25">
      <c r="A273" t="s">
        <v>278</v>
      </c>
      <c r="B273" s="1">
        <v>46202</v>
      </c>
      <c r="C273" s="2">
        <v>0.85555555555555551</v>
      </c>
      <c r="D273" t="s">
        <v>340</v>
      </c>
      <c r="E273">
        <v>30237</v>
      </c>
      <c r="F273" t="s">
        <v>155</v>
      </c>
      <c r="G273" t="s">
        <v>23</v>
      </c>
      <c r="H273">
        <v>4</v>
      </c>
      <c r="I273" t="s">
        <v>48</v>
      </c>
      <c r="J273" t="s">
        <v>100</v>
      </c>
      <c r="K273" t="s">
        <v>247</v>
      </c>
      <c r="L273" t="s">
        <v>492</v>
      </c>
      <c r="M273" t="s">
        <v>583</v>
      </c>
      <c r="N273">
        <v>1</v>
      </c>
      <c r="O273" t="b">
        <v>0</v>
      </c>
      <c r="P273" t="s">
        <v>26</v>
      </c>
      <c r="Q273" t="s">
        <v>27</v>
      </c>
      <c r="T273" t="s">
        <v>28</v>
      </c>
      <c r="U273" s="4">
        <f t="shared" si="6"/>
        <v>46202</v>
      </c>
    </row>
    <row r="274" spans="1:21" x14ac:dyDescent="0.25">
      <c r="A274" t="s">
        <v>163</v>
      </c>
      <c r="B274" s="1">
        <v>46202</v>
      </c>
      <c r="C274" s="2">
        <v>0.81527777777777777</v>
      </c>
      <c r="D274" t="s">
        <v>638</v>
      </c>
      <c r="E274">
        <v>30450</v>
      </c>
      <c r="F274" t="s">
        <v>610</v>
      </c>
      <c r="G274" t="s">
        <v>23</v>
      </c>
      <c r="H274">
        <v>1</v>
      </c>
      <c r="I274" t="s">
        <v>165</v>
      </c>
      <c r="J274" t="s">
        <v>100</v>
      </c>
      <c r="K274" t="s">
        <v>203</v>
      </c>
      <c r="L274" t="s">
        <v>670</v>
      </c>
      <c r="M274" t="s">
        <v>467</v>
      </c>
      <c r="N274">
        <v>1</v>
      </c>
      <c r="O274" t="b">
        <v>0</v>
      </c>
      <c r="P274" t="s">
        <v>26</v>
      </c>
      <c r="Q274" t="s">
        <v>41</v>
      </c>
      <c r="R274" t="s">
        <v>49</v>
      </c>
      <c r="T274" t="s">
        <v>28</v>
      </c>
      <c r="U274" s="4">
        <f t="shared" si="6"/>
        <v>46202</v>
      </c>
    </row>
    <row r="275" spans="1:21" x14ac:dyDescent="0.25">
      <c r="A275" t="s">
        <v>130</v>
      </c>
      <c r="B275" s="1">
        <v>46202</v>
      </c>
      <c r="C275" s="2">
        <v>0.82708333333333328</v>
      </c>
      <c r="D275" t="s">
        <v>313</v>
      </c>
      <c r="E275">
        <v>30249</v>
      </c>
      <c r="F275" t="s">
        <v>110</v>
      </c>
      <c r="G275" t="s">
        <v>23</v>
      </c>
      <c r="H275">
        <v>3</v>
      </c>
      <c r="I275" t="s">
        <v>48</v>
      </c>
      <c r="J275" t="s">
        <v>100</v>
      </c>
      <c r="K275" t="s">
        <v>203</v>
      </c>
      <c r="L275" t="s">
        <v>491</v>
      </c>
      <c r="M275" t="s">
        <v>583</v>
      </c>
      <c r="N275">
        <v>1</v>
      </c>
      <c r="O275" t="b">
        <v>0</v>
      </c>
      <c r="P275" t="s">
        <v>26</v>
      </c>
      <c r="Q275" t="s">
        <v>27</v>
      </c>
      <c r="T275" t="s">
        <v>28</v>
      </c>
      <c r="U275" s="4">
        <f t="shared" si="6"/>
        <v>46202</v>
      </c>
    </row>
    <row r="276" spans="1:21" x14ac:dyDescent="0.25">
      <c r="A276" t="s">
        <v>130</v>
      </c>
      <c r="B276" s="1">
        <v>46202</v>
      </c>
      <c r="C276" s="2">
        <v>0.85555555555555551</v>
      </c>
      <c r="D276" t="s">
        <v>340</v>
      </c>
      <c r="E276">
        <v>30237</v>
      </c>
      <c r="F276" t="s">
        <v>155</v>
      </c>
      <c r="G276" t="s">
        <v>31</v>
      </c>
      <c r="H276">
        <v>3</v>
      </c>
      <c r="I276" t="s">
        <v>48</v>
      </c>
      <c r="J276" t="s">
        <v>100</v>
      </c>
      <c r="K276" t="s">
        <v>247</v>
      </c>
      <c r="L276" t="s">
        <v>492</v>
      </c>
      <c r="M276" t="s">
        <v>583</v>
      </c>
      <c r="N276">
        <v>3</v>
      </c>
      <c r="O276" t="b">
        <v>0</v>
      </c>
      <c r="P276" t="s">
        <v>26</v>
      </c>
      <c r="Q276" t="s">
        <v>27</v>
      </c>
      <c r="T276" t="s">
        <v>28</v>
      </c>
      <c r="U276" s="4">
        <f t="shared" si="6"/>
        <v>46202</v>
      </c>
    </row>
    <row r="277" spans="1:21" x14ac:dyDescent="0.25">
      <c r="A277" t="s">
        <v>97</v>
      </c>
      <c r="B277" s="1">
        <v>46202</v>
      </c>
      <c r="C277" s="2">
        <v>0.85347222222222219</v>
      </c>
      <c r="D277" t="s">
        <v>321</v>
      </c>
      <c r="E277">
        <v>30449</v>
      </c>
      <c r="F277" t="s">
        <v>125</v>
      </c>
      <c r="G277" t="s">
        <v>31</v>
      </c>
      <c r="H277">
        <v>3</v>
      </c>
      <c r="I277" t="s">
        <v>71</v>
      </c>
      <c r="J277" t="s">
        <v>100</v>
      </c>
      <c r="K277" t="s">
        <v>257</v>
      </c>
      <c r="L277" t="s">
        <v>413</v>
      </c>
      <c r="M277" t="s">
        <v>473</v>
      </c>
      <c r="N277">
        <v>3</v>
      </c>
      <c r="O277" t="b">
        <v>0</v>
      </c>
      <c r="P277" t="s">
        <v>26</v>
      </c>
      <c r="Q277" t="s">
        <v>41</v>
      </c>
      <c r="R277" t="s">
        <v>49</v>
      </c>
      <c r="S277" t="s">
        <v>613</v>
      </c>
      <c r="T277" t="s">
        <v>28</v>
      </c>
      <c r="U277" s="4">
        <f t="shared" si="6"/>
        <v>46202</v>
      </c>
    </row>
    <row r="278" spans="1:21" x14ac:dyDescent="0.25">
      <c r="A278" t="s">
        <v>97</v>
      </c>
      <c r="B278" s="1">
        <v>46202</v>
      </c>
      <c r="C278" s="2">
        <v>0.86736111111111114</v>
      </c>
      <c r="D278" t="s">
        <v>349</v>
      </c>
      <c r="E278">
        <v>29765</v>
      </c>
      <c r="F278" t="s">
        <v>172</v>
      </c>
      <c r="G278" t="s">
        <v>37</v>
      </c>
      <c r="H278">
        <v>1</v>
      </c>
      <c r="I278" t="s">
        <v>71</v>
      </c>
      <c r="J278" t="s">
        <v>584</v>
      </c>
      <c r="K278" t="s">
        <v>170</v>
      </c>
      <c r="L278" t="s">
        <v>675</v>
      </c>
      <c r="M278" t="s">
        <v>583</v>
      </c>
      <c r="N278">
        <v>4</v>
      </c>
      <c r="O278" t="b">
        <v>0</v>
      </c>
      <c r="P278" t="s">
        <v>26</v>
      </c>
      <c r="Q278" t="s">
        <v>27</v>
      </c>
      <c r="S278" t="s">
        <v>614</v>
      </c>
      <c r="T278" t="s">
        <v>28</v>
      </c>
      <c r="U278" s="4">
        <f t="shared" si="6"/>
        <v>46202</v>
      </c>
    </row>
    <row r="279" spans="1:21" x14ac:dyDescent="0.25">
      <c r="A279" t="s">
        <v>86</v>
      </c>
      <c r="B279" s="1">
        <v>46202</v>
      </c>
      <c r="C279" s="2">
        <v>0.82708333333333328</v>
      </c>
      <c r="D279" t="s">
        <v>313</v>
      </c>
      <c r="E279">
        <v>30249</v>
      </c>
      <c r="F279" t="s">
        <v>110</v>
      </c>
      <c r="G279" t="s">
        <v>23</v>
      </c>
      <c r="H279">
        <v>3</v>
      </c>
      <c r="I279" t="s">
        <v>57</v>
      </c>
      <c r="J279" t="s">
        <v>100</v>
      </c>
      <c r="K279" t="s">
        <v>203</v>
      </c>
      <c r="L279" t="s">
        <v>624</v>
      </c>
      <c r="M279" t="s">
        <v>583</v>
      </c>
      <c r="N279">
        <v>1</v>
      </c>
      <c r="O279" t="b">
        <v>0</v>
      </c>
      <c r="P279" t="s">
        <v>26</v>
      </c>
      <c r="Q279" t="s">
        <v>27</v>
      </c>
      <c r="S279" t="s">
        <v>615</v>
      </c>
      <c r="T279" t="s">
        <v>28</v>
      </c>
      <c r="U279" s="4">
        <f t="shared" si="6"/>
        <v>46202</v>
      </c>
    </row>
  </sheetData>
  <autoFilter ref="A1:T279" xr:uid="{19451AA2-23CF-6249-8587-EF34CF3BDA66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81486-30C0-456D-A312-31B9273B5D63}">
  <dimension ref="A1:S200"/>
  <sheetViews>
    <sheetView topLeftCell="A2" workbookViewId="0">
      <selection activeCell="N7" sqref="N7"/>
    </sheetView>
  </sheetViews>
  <sheetFormatPr defaultColWidth="8.875" defaultRowHeight="15.75" x14ac:dyDescent="0.25"/>
  <cols>
    <col min="1" max="1" width="37.125" bestFit="1" customWidth="1"/>
    <col min="2" max="2" width="46.125" bestFit="1" customWidth="1"/>
    <col min="3" max="3" width="8.875" bestFit="1" customWidth="1"/>
    <col min="4" max="4" width="7.875" bestFit="1" customWidth="1"/>
    <col min="5" max="5" width="9.875" bestFit="1" customWidth="1"/>
    <col min="19" max="19" width="24.625" style="23" bestFit="1" customWidth="1"/>
  </cols>
  <sheetData>
    <row r="1" spans="1:19" ht="21" x14ac:dyDescent="0.35">
      <c r="A1" s="17" t="s">
        <v>211</v>
      </c>
      <c r="S1" s="22" t="s">
        <v>212</v>
      </c>
    </row>
    <row r="2" spans="1:19" x14ac:dyDescent="0.25">
      <c r="S2" s="23" t="str" cm="1">
        <f t="array" ref="S2:S37">_xlfn._xlws.SORT(_xlfn.UNIQUE(_xlfn._xlws.FILTER('Loot History'!A2:A1987,'Loot History'!A2:A1987&lt;&gt;"")))</f>
        <v>Actitibe-Thunderstrike</v>
      </c>
    </row>
    <row r="3" spans="1:19" x14ac:dyDescent="0.25">
      <c r="A3" s="3" t="s">
        <v>213</v>
      </c>
      <c r="B3" s="18" t="s">
        <v>93</v>
      </c>
      <c r="S3" s="23" t="str">
        <v>Aethrîa-Thunderstrike</v>
      </c>
    </row>
    <row r="4" spans="1:19" x14ac:dyDescent="0.25">
      <c r="S4" s="23" t="str">
        <v>Alàén-Thunderstrike</v>
      </c>
    </row>
    <row r="5" spans="1:19" x14ac:dyDescent="0.25">
      <c r="A5" s="19" t="s">
        <v>214</v>
      </c>
      <c r="B5" s="19" t="s">
        <v>215</v>
      </c>
      <c r="C5" s="19" t="s">
        <v>216</v>
      </c>
      <c r="D5" s="19" t="s">
        <v>217</v>
      </c>
      <c r="E5" s="19" t="s">
        <v>218</v>
      </c>
      <c r="S5" s="23" t="str">
        <v>Bigfutti-Thunderstrike</v>
      </c>
    </row>
    <row r="6" spans="1:19" x14ac:dyDescent="0.25">
      <c r="A6" t="str" cm="1">
        <f t="array" ref="A6:E9">IF($B$3="","← Select a player above",_xlfn._xlws.FILTER(_xlfn.HSTACK('Loot History'!D2:D176,'Loot History'!J2:J176,'Loot History'!B2:B176,'Loot History'!C2:C176,'Loot History'!G2:G176),'Loot History'!A2:A176=$B$3,"No items found for this player"))</f>
        <v>Serpent-Coil Braid</v>
      </c>
      <c r="B6" t="str">
        <v>Coilfang: Serpentshrine Cavern-25 Player</v>
      </c>
      <c r="C6" s="20">
        <v>46160</v>
      </c>
      <c r="D6" s="21">
        <v>0.90902777777777777</v>
      </c>
      <c r="E6" t="str">
        <v>BiS</v>
      </c>
      <c r="S6" s="23" t="str">
        <v>Desquite-Thunderstrike</v>
      </c>
    </row>
    <row r="7" spans="1:19" x14ac:dyDescent="0.25">
      <c r="A7" t="str">
        <v>Pauldrons of the Vanquished Hero</v>
      </c>
      <c r="B7" t="str">
        <v>Tempest Keep-25 Player</v>
      </c>
      <c r="C7" s="20">
        <v>46161</v>
      </c>
      <c r="D7" s="21">
        <v>0.92986111111111114</v>
      </c>
      <c r="E7" t="str">
        <v>BiS</v>
      </c>
      <c r="S7" s="23" t="str">
        <v>Fetzine-Thunderstrike</v>
      </c>
    </row>
    <row r="8" spans="1:19" x14ac:dyDescent="0.25">
      <c r="A8" t="str">
        <v>Gloves of the Vanquished Hero</v>
      </c>
      <c r="B8" t="str">
        <v>Coilfang: Serpentshrine Cavern-25 Player</v>
      </c>
      <c r="C8" s="20">
        <v>46163</v>
      </c>
      <c r="D8" s="21">
        <v>0.87986111111111109</v>
      </c>
      <c r="E8" t="str">
        <v>BiS</v>
      </c>
      <c r="S8" s="23" t="str">
        <v>Flieege-Thunderstrike</v>
      </c>
    </row>
    <row r="9" spans="1:19" x14ac:dyDescent="0.25">
      <c r="A9" t="str">
        <v>Chestguard of the Vanquished Hero</v>
      </c>
      <c r="B9" t="str">
        <v>Tempest Keep-25 Player</v>
      </c>
      <c r="C9" s="20">
        <v>46174</v>
      </c>
      <c r="D9" s="21">
        <v>0.84930555555555554</v>
      </c>
      <c r="E9" t="str">
        <v>BiS</v>
      </c>
      <c r="S9" s="23" t="str">
        <v>Gerdarogers-Thunderstrike</v>
      </c>
    </row>
    <row r="10" spans="1:19" x14ac:dyDescent="0.25">
      <c r="C10" s="20"/>
      <c r="D10" s="21"/>
      <c r="S10" s="23" t="str">
        <v>Gorgohc-Thunderstrike</v>
      </c>
    </row>
    <row r="11" spans="1:19" x14ac:dyDescent="0.25">
      <c r="C11" s="20"/>
      <c r="D11" s="21"/>
      <c r="S11" s="23" t="str">
        <v>Grathmok-Thunderstrike</v>
      </c>
    </row>
    <row r="12" spans="1:19" x14ac:dyDescent="0.25">
      <c r="C12" s="20"/>
      <c r="D12" s="21"/>
      <c r="S12" s="23" t="str">
        <v>Heislbärt-Thunderstrike</v>
      </c>
    </row>
    <row r="13" spans="1:19" x14ac:dyDescent="0.25">
      <c r="C13" s="20"/>
      <c r="D13" s="21"/>
      <c r="S13" s="23" t="str">
        <v>Hutro-Thunderstrike</v>
      </c>
    </row>
    <row r="14" spans="1:19" x14ac:dyDescent="0.25">
      <c r="C14" s="20"/>
      <c r="D14" s="21"/>
      <c r="S14" s="23" t="str">
        <v>Keindaemon-Thunderstrike</v>
      </c>
    </row>
    <row r="15" spans="1:19" x14ac:dyDescent="0.25">
      <c r="C15" s="20"/>
      <c r="D15" s="21"/>
      <c r="S15" s="23" t="str">
        <v>Klaaw-Thunderstrike</v>
      </c>
    </row>
    <row r="16" spans="1:19" x14ac:dyDescent="0.25">
      <c r="C16" s="20"/>
      <c r="D16" s="21"/>
      <c r="S16" s="23" t="str">
        <v>Lilyasx-Thunderstrike</v>
      </c>
    </row>
    <row r="17" spans="3:19" x14ac:dyDescent="0.25">
      <c r="C17" s="20"/>
      <c r="D17" s="21"/>
      <c r="S17" s="23" t="str">
        <v>Mahway-Thunderstrike</v>
      </c>
    </row>
    <row r="18" spans="3:19" x14ac:dyDescent="0.25">
      <c r="C18" s="20"/>
      <c r="D18" s="21"/>
      <c r="S18" s="23" t="str">
        <v>Mardinez-Thunderstrike</v>
      </c>
    </row>
    <row r="19" spans="3:19" x14ac:dyDescent="0.25">
      <c r="C19" s="20"/>
      <c r="D19" s="21"/>
      <c r="S19" s="23" t="str">
        <v>Mokrash-Thunderstrike</v>
      </c>
    </row>
    <row r="20" spans="3:19" x14ac:dyDescent="0.25">
      <c r="C20" s="20"/>
      <c r="D20" s="21"/>
      <c r="S20" s="23" t="str">
        <v>Mommyfrieren-Thunderstrike</v>
      </c>
    </row>
    <row r="21" spans="3:19" x14ac:dyDescent="0.25">
      <c r="C21" s="20"/>
      <c r="D21" s="21"/>
      <c r="S21" s="23" t="str">
        <v>Oßa-Thunderstrike</v>
      </c>
    </row>
    <row r="22" spans="3:19" x14ac:dyDescent="0.25">
      <c r="C22" s="20"/>
      <c r="D22" s="21"/>
      <c r="S22" s="23" t="str">
        <v>Razoga-Thunderstrike</v>
      </c>
    </row>
    <row r="23" spans="3:19" x14ac:dyDescent="0.25">
      <c r="C23" s="20"/>
      <c r="D23" s="21"/>
      <c r="S23" s="23" t="str">
        <v>Reazø-Thunderstrike</v>
      </c>
    </row>
    <row r="24" spans="3:19" x14ac:dyDescent="0.25">
      <c r="C24" s="20"/>
      <c r="D24" s="21"/>
      <c r="S24" s="23" t="str">
        <v>Reezø-Thunderstrike</v>
      </c>
    </row>
    <row r="25" spans="3:19" x14ac:dyDescent="0.25">
      <c r="C25" s="20"/>
      <c r="D25" s="21"/>
      <c r="S25" s="23" t="str">
        <v>Ribsz-Thunderstrike</v>
      </c>
    </row>
    <row r="26" spans="3:19" x14ac:dyDescent="0.25">
      <c r="C26" s="20"/>
      <c r="D26" s="21"/>
      <c r="S26" s="23" t="str">
        <v>Sanderon-Thunderstrike</v>
      </c>
    </row>
    <row r="27" spans="3:19" x14ac:dyDescent="0.25">
      <c r="C27" s="20"/>
      <c r="D27" s="21"/>
      <c r="S27" s="23" t="str">
        <v>Shreklich-Thunderstrike</v>
      </c>
    </row>
    <row r="28" spans="3:19" x14ac:dyDescent="0.25">
      <c r="C28" s="20"/>
      <c r="D28" s="21"/>
      <c r="S28" s="23" t="str">
        <v>Spewspew-Thunderstrike</v>
      </c>
    </row>
    <row r="29" spans="3:19" x14ac:dyDescent="0.25">
      <c r="C29" s="20"/>
      <c r="D29" s="21"/>
      <c r="S29" s="23" t="str">
        <v>Supmyaeth-Thunderstrike</v>
      </c>
    </row>
    <row r="30" spans="3:19" x14ac:dyDescent="0.25">
      <c r="C30" s="20"/>
      <c r="D30" s="21"/>
      <c r="S30" s="23" t="str">
        <v>Tastycake-Thunderstrike</v>
      </c>
    </row>
    <row r="31" spans="3:19" x14ac:dyDescent="0.25">
      <c r="C31" s="20"/>
      <c r="D31" s="21"/>
      <c r="S31" s="23" t="str">
        <v>Tommypenn-Thunderstrike</v>
      </c>
    </row>
    <row r="32" spans="3:19" x14ac:dyDescent="0.25">
      <c r="C32" s="20"/>
      <c r="D32" s="21"/>
      <c r="S32" s="23" t="str">
        <v>Tuarendrood-Thunderstrike</v>
      </c>
    </row>
    <row r="33" spans="3:19" x14ac:dyDescent="0.25">
      <c r="C33" s="20"/>
      <c r="D33" s="21"/>
      <c r="S33" s="23" t="str">
        <v>Xænd-Thunderstrike</v>
      </c>
    </row>
    <row r="34" spans="3:19" x14ac:dyDescent="0.25">
      <c r="C34" s="20"/>
      <c r="D34" s="21"/>
      <c r="S34" s="23" t="str">
        <v>Xaganat-Thunderstrike</v>
      </c>
    </row>
    <row r="35" spans="3:19" x14ac:dyDescent="0.25">
      <c r="C35" s="20"/>
      <c r="D35" s="21"/>
      <c r="S35" s="23" t="str">
        <v>Zabipala-Thunderstrike</v>
      </c>
    </row>
    <row r="36" spans="3:19" x14ac:dyDescent="0.25">
      <c r="C36" s="20"/>
      <c r="D36" s="21"/>
      <c r="S36" s="23" t="str">
        <v>Zerleger-Thunderstrike</v>
      </c>
    </row>
    <row r="37" spans="3:19" x14ac:dyDescent="0.25">
      <c r="C37" s="20"/>
      <c r="D37" s="21"/>
      <c r="S37" s="23" t="str">
        <v>Zzou-Thunderstrike</v>
      </c>
    </row>
    <row r="38" spans="3:19" x14ac:dyDescent="0.25">
      <c r="C38" s="20"/>
      <c r="D38" s="21"/>
    </row>
    <row r="39" spans="3:19" x14ac:dyDescent="0.25">
      <c r="C39" s="20"/>
      <c r="D39" s="21"/>
    </row>
    <row r="40" spans="3:19" x14ac:dyDescent="0.25">
      <c r="C40" s="20"/>
      <c r="D40" s="21"/>
    </row>
    <row r="41" spans="3:19" x14ac:dyDescent="0.25">
      <c r="C41" s="20"/>
      <c r="D41" s="21"/>
    </row>
    <row r="42" spans="3:19" x14ac:dyDescent="0.25">
      <c r="C42" s="20"/>
      <c r="D42" s="21"/>
    </row>
    <row r="43" spans="3:19" x14ac:dyDescent="0.25">
      <c r="C43" s="20"/>
      <c r="D43" s="21"/>
    </row>
    <row r="44" spans="3:19" x14ac:dyDescent="0.25">
      <c r="C44" s="20"/>
      <c r="D44" s="21"/>
    </row>
    <row r="45" spans="3:19" x14ac:dyDescent="0.25">
      <c r="C45" s="20"/>
      <c r="D45" s="21"/>
    </row>
    <row r="46" spans="3:19" x14ac:dyDescent="0.25">
      <c r="C46" s="20"/>
      <c r="D46" s="21"/>
    </row>
    <row r="47" spans="3:19" x14ac:dyDescent="0.25">
      <c r="C47" s="20"/>
      <c r="D47" s="21"/>
    </row>
    <row r="48" spans="3:19" x14ac:dyDescent="0.25">
      <c r="C48" s="20"/>
      <c r="D48" s="21"/>
    </row>
    <row r="49" spans="3:4" x14ac:dyDescent="0.25">
      <c r="C49" s="20"/>
      <c r="D49" s="21"/>
    </row>
    <row r="50" spans="3:4" x14ac:dyDescent="0.25">
      <c r="C50" s="20"/>
      <c r="D50" s="21"/>
    </row>
    <row r="51" spans="3:4" x14ac:dyDescent="0.25">
      <c r="C51" s="20"/>
      <c r="D51" s="21"/>
    </row>
    <row r="52" spans="3:4" x14ac:dyDescent="0.25">
      <c r="C52" s="20"/>
      <c r="D52" s="21"/>
    </row>
    <row r="53" spans="3:4" x14ac:dyDescent="0.25">
      <c r="C53" s="20"/>
      <c r="D53" s="21"/>
    </row>
    <row r="54" spans="3:4" x14ac:dyDescent="0.25">
      <c r="C54" s="20"/>
      <c r="D54" s="21"/>
    </row>
    <row r="55" spans="3:4" x14ac:dyDescent="0.25">
      <c r="C55" s="20"/>
      <c r="D55" s="21"/>
    </row>
    <row r="56" spans="3:4" x14ac:dyDescent="0.25">
      <c r="C56" s="20"/>
      <c r="D56" s="21"/>
    </row>
    <row r="57" spans="3:4" x14ac:dyDescent="0.25">
      <c r="C57" s="20"/>
      <c r="D57" s="21"/>
    </row>
    <row r="58" spans="3:4" x14ac:dyDescent="0.25">
      <c r="C58" s="20"/>
      <c r="D58" s="21"/>
    </row>
    <row r="59" spans="3:4" x14ac:dyDescent="0.25">
      <c r="C59" s="20"/>
      <c r="D59" s="21"/>
    </row>
    <row r="60" spans="3:4" x14ac:dyDescent="0.25">
      <c r="C60" s="20"/>
      <c r="D60" s="21"/>
    </row>
    <row r="61" spans="3:4" x14ac:dyDescent="0.25">
      <c r="C61" s="20"/>
      <c r="D61" s="21"/>
    </row>
    <row r="62" spans="3:4" x14ac:dyDescent="0.25">
      <c r="C62" s="20"/>
      <c r="D62" s="21"/>
    </row>
    <row r="63" spans="3:4" x14ac:dyDescent="0.25">
      <c r="C63" s="20"/>
      <c r="D63" s="21"/>
    </row>
    <row r="64" spans="3:4" x14ac:dyDescent="0.25">
      <c r="C64" s="20"/>
      <c r="D64" s="21"/>
    </row>
    <row r="65" spans="3:4" x14ac:dyDescent="0.25">
      <c r="C65" s="20"/>
      <c r="D65" s="21"/>
    </row>
    <row r="66" spans="3:4" x14ac:dyDescent="0.25">
      <c r="C66" s="20"/>
      <c r="D66" s="21"/>
    </row>
    <row r="67" spans="3:4" x14ac:dyDescent="0.25">
      <c r="C67" s="20"/>
      <c r="D67" s="21"/>
    </row>
    <row r="68" spans="3:4" x14ac:dyDescent="0.25">
      <c r="C68" s="20"/>
      <c r="D68" s="21"/>
    </row>
    <row r="69" spans="3:4" x14ac:dyDescent="0.25">
      <c r="C69" s="20"/>
      <c r="D69" s="21"/>
    </row>
    <row r="70" spans="3:4" x14ac:dyDescent="0.25">
      <c r="C70" s="20"/>
      <c r="D70" s="21"/>
    </row>
    <row r="71" spans="3:4" x14ac:dyDescent="0.25">
      <c r="C71" s="20"/>
      <c r="D71" s="21"/>
    </row>
    <row r="72" spans="3:4" x14ac:dyDescent="0.25">
      <c r="C72" s="20"/>
      <c r="D72" s="21"/>
    </row>
    <row r="73" spans="3:4" x14ac:dyDescent="0.25">
      <c r="C73" s="20"/>
      <c r="D73" s="21"/>
    </row>
    <row r="74" spans="3:4" x14ac:dyDescent="0.25">
      <c r="C74" s="20"/>
      <c r="D74" s="21"/>
    </row>
    <row r="75" spans="3:4" x14ac:dyDescent="0.25">
      <c r="C75" s="20"/>
      <c r="D75" s="21"/>
    </row>
    <row r="76" spans="3:4" x14ac:dyDescent="0.25">
      <c r="C76" s="20"/>
      <c r="D76" s="21"/>
    </row>
    <row r="77" spans="3:4" x14ac:dyDescent="0.25">
      <c r="C77" s="20"/>
      <c r="D77" s="21"/>
    </row>
    <row r="78" spans="3:4" x14ac:dyDescent="0.25">
      <c r="C78" s="20"/>
      <c r="D78" s="21"/>
    </row>
    <row r="79" spans="3:4" x14ac:dyDescent="0.25">
      <c r="C79" s="20"/>
      <c r="D79" s="21"/>
    </row>
    <row r="80" spans="3:4" x14ac:dyDescent="0.25">
      <c r="C80" s="20"/>
      <c r="D80" s="21"/>
    </row>
    <row r="81" spans="3:4" x14ac:dyDescent="0.25">
      <c r="C81" s="20"/>
      <c r="D81" s="21"/>
    </row>
    <row r="82" spans="3:4" x14ac:dyDescent="0.25">
      <c r="C82" s="20"/>
      <c r="D82" s="21"/>
    </row>
    <row r="83" spans="3:4" x14ac:dyDescent="0.25">
      <c r="C83" s="20"/>
      <c r="D83" s="21"/>
    </row>
    <row r="84" spans="3:4" x14ac:dyDescent="0.25">
      <c r="C84" s="20"/>
      <c r="D84" s="21"/>
    </row>
    <row r="85" spans="3:4" x14ac:dyDescent="0.25">
      <c r="C85" s="20"/>
      <c r="D85" s="21"/>
    </row>
    <row r="86" spans="3:4" x14ac:dyDescent="0.25">
      <c r="C86" s="20"/>
      <c r="D86" s="21"/>
    </row>
    <row r="87" spans="3:4" x14ac:dyDescent="0.25">
      <c r="C87" s="20"/>
      <c r="D87" s="21"/>
    </row>
    <row r="88" spans="3:4" x14ac:dyDescent="0.25">
      <c r="C88" s="20"/>
      <c r="D88" s="21"/>
    </row>
    <row r="89" spans="3:4" x14ac:dyDescent="0.25">
      <c r="C89" s="20"/>
      <c r="D89" s="21"/>
    </row>
    <row r="90" spans="3:4" x14ac:dyDescent="0.25">
      <c r="C90" s="20"/>
      <c r="D90" s="21"/>
    </row>
    <row r="91" spans="3:4" x14ac:dyDescent="0.25">
      <c r="C91" s="20"/>
      <c r="D91" s="21"/>
    </row>
    <row r="92" spans="3:4" x14ac:dyDescent="0.25">
      <c r="C92" s="20"/>
      <c r="D92" s="21"/>
    </row>
    <row r="93" spans="3:4" x14ac:dyDescent="0.25">
      <c r="C93" s="20"/>
      <c r="D93" s="21"/>
    </row>
    <row r="94" spans="3:4" x14ac:dyDescent="0.25">
      <c r="C94" s="20"/>
      <c r="D94" s="21"/>
    </row>
    <row r="95" spans="3:4" x14ac:dyDescent="0.25">
      <c r="C95" s="20"/>
      <c r="D95" s="21"/>
    </row>
    <row r="96" spans="3:4" x14ac:dyDescent="0.25">
      <c r="C96" s="20"/>
      <c r="D96" s="21"/>
    </row>
    <row r="97" spans="3:4" x14ac:dyDescent="0.25">
      <c r="C97" s="20"/>
      <c r="D97" s="21"/>
    </row>
    <row r="98" spans="3:4" x14ac:dyDescent="0.25">
      <c r="C98" s="20"/>
      <c r="D98" s="21"/>
    </row>
    <row r="99" spans="3:4" x14ac:dyDescent="0.25">
      <c r="C99" s="20"/>
      <c r="D99" s="21"/>
    </row>
    <row r="100" spans="3:4" x14ac:dyDescent="0.25">
      <c r="C100" s="20"/>
      <c r="D100" s="21"/>
    </row>
    <row r="101" spans="3:4" x14ac:dyDescent="0.25">
      <c r="C101" s="20"/>
      <c r="D101" s="21"/>
    </row>
    <row r="102" spans="3:4" x14ac:dyDescent="0.25">
      <c r="C102" s="20"/>
      <c r="D102" s="21"/>
    </row>
    <row r="103" spans="3:4" x14ac:dyDescent="0.25">
      <c r="C103" s="20"/>
      <c r="D103" s="21"/>
    </row>
    <row r="104" spans="3:4" x14ac:dyDescent="0.25">
      <c r="C104" s="20"/>
      <c r="D104" s="21"/>
    </row>
    <row r="105" spans="3:4" x14ac:dyDescent="0.25">
      <c r="C105" s="20"/>
      <c r="D105" s="21"/>
    </row>
    <row r="106" spans="3:4" x14ac:dyDescent="0.25">
      <c r="C106" s="20"/>
      <c r="D106" s="21"/>
    </row>
    <row r="107" spans="3:4" x14ac:dyDescent="0.25">
      <c r="C107" s="20"/>
      <c r="D107" s="21"/>
    </row>
    <row r="108" spans="3:4" x14ac:dyDescent="0.25">
      <c r="C108" s="20"/>
      <c r="D108" s="21"/>
    </row>
    <row r="109" spans="3:4" x14ac:dyDescent="0.25">
      <c r="C109" s="20"/>
      <c r="D109" s="21"/>
    </row>
    <row r="110" spans="3:4" x14ac:dyDescent="0.25">
      <c r="C110" s="20"/>
      <c r="D110" s="21"/>
    </row>
    <row r="111" spans="3:4" x14ac:dyDescent="0.25">
      <c r="C111" s="20"/>
      <c r="D111" s="21"/>
    </row>
    <row r="112" spans="3:4" x14ac:dyDescent="0.25">
      <c r="C112" s="20"/>
      <c r="D112" s="21"/>
    </row>
    <row r="113" spans="3:4" x14ac:dyDescent="0.25">
      <c r="C113" s="20"/>
      <c r="D113" s="21"/>
    </row>
    <row r="114" spans="3:4" x14ac:dyDescent="0.25">
      <c r="C114" s="20"/>
      <c r="D114" s="21"/>
    </row>
    <row r="115" spans="3:4" x14ac:dyDescent="0.25">
      <c r="C115" s="20"/>
      <c r="D115" s="21"/>
    </row>
    <row r="116" spans="3:4" x14ac:dyDescent="0.25">
      <c r="C116" s="20"/>
      <c r="D116" s="21"/>
    </row>
    <row r="117" spans="3:4" x14ac:dyDescent="0.25">
      <c r="C117" s="20"/>
      <c r="D117" s="21"/>
    </row>
    <row r="118" spans="3:4" x14ac:dyDescent="0.25">
      <c r="C118" s="20"/>
      <c r="D118" s="21"/>
    </row>
    <row r="119" spans="3:4" x14ac:dyDescent="0.25">
      <c r="C119" s="20"/>
      <c r="D119" s="21"/>
    </row>
    <row r="120" spans="3:4" x14ac:dyDescent="0.25">
      <c r="C120" s="20"/>
      <c r="D120" s="21"/>
    </row>
    <row r="121" spans="3:4" x14ac:dyDescent="0.25">
      <c r="C121" s="20"/>
      <c r="D121" s="21"/>
    </row>
    <row r="122" spans="3:4" x14ac:dyDescent="0.25">
      <c r="C122" s="20"/>
      <c r="D122" s="21"/>
    </row>
    <row r="123" spans="3:4" x14ac:dyDescent="0.25">
      <c r="C123" s="20"/>
      <c r="D123" s="21"/>
    </row>
    <row r="124" spans="3:4" x14ac:dyDescent="0.25">
      <c r="C124" s="20"/>
      <c r="D124" s="21"/>
    </row>
    <row r="125" spans="3:4" x14ac:dyDescent="0.25">
      <c r="C125" s="20"/>
      <c r="D125" s="21"/>
    </row>
    <row r="126" spans="3:4" x14ac:dyDescent="0.25">
      <c r="C126" s="20"/>
      <c r="D126" s="21"/>
    </row>
    <row r="127" spans="3:4" x14ac:dyDescent="0.25">
      <c r="C127" s="20"/>
      <c r="D127" s="21"/>
    </row>
    <row r="128" spans="3:4" x14ac:dyDescent="0.25">
      <c r="C128" s="20"/>
      <c r="D128" s="21"/>
    </row>
    <row r="129" spans="3:4" x14ac:dyDescent="0.25">
      <c r="C129" s="20"/>
      <c r="D129" s="21"/>
    </row>
    <row r="130" spans="3:4" x14ac:dyDescent="0.25">
      <c r="C130" s="20"/>
      <c r="D130" s="21"/>
    </row>
    <row r="131" spans="3:4" x14ac:dyDescent="0.25">
      <c r="C131" s="20"/>
      <c r="D131" s="21"/>
    </row>
    <row r="132" spans="3:4" x14ac:dyDescent="0.25">
      <c r="C132" s="20"/>
      <c r="D132" s="21"/>
    </row>
    <row r="133" spans="3:4" x14ac:dyDescent="0.25">
      <c r="C133" s="20"/>
      <c r="D133" s="21"/>
    </row>
    <row r="134" spans="3:4" x14ac:dyDescent="0.25">
      <c r="C134" s="20"/>
      <c r="D134" s="21"/>
    </row>
    <row r="135" spans="3:4" x14ac:dyDescent="0.25">
      <c r="C135" s="20"/>
      <c r="D135" s="21"/>
    </row>
    <row r="136" spans="3:4" x14ac:dyDescent="0.25">
      <c r="C136" s="20"/>
      <c r="D136" s="21"/>
    </row>
    <row r="137" spans="3:4" x14ac:dyDescent="0.25">
      <c r="C137" s="20"/>
      <c r="D137" s="21"/>
    </row>
    <row r="138" spans="3:4" x14ac:dyDescent="0.25">
      <c r="C138" s="20"/>
      <c r="D138" s="21"/>
    </row>
    <row r="139" spans="3:4" x14ac:dyDescent="0.25">
      <c r="C139" s="20"/>
      <c r="D139" s="21"/>
    </row>
    <row r="140" spans="3:4" x14ac:dyDescent="0.25">
      <c r="C140" s="20"/>
      <c r="D140" s="21"/>
    </row>
    <row r="141" spans="3:4" x14ac:dyDescent="0.25">
      <c r="C141" s="20"/>
      <c r="D141" s="21"/>
    </row>
    <row r="142" spans="3:4" x14ac:dyDescent="0.25">
      <c r="C142" s="20"/>
      <c r="D142" s="21"/>
    </row>
    <row r="143" spans="3:4" x14ac:dyDescent="0.25">
      <c r="C143" s="20"/>
      <c r="D143" s="21"/>
    </row>
    <row r="144" spans="3:4" x14ac:dyDescent="0.25">
      <c r="C144" s="20"/>
      <c r="D144" s="21"/>
    </row>
    <row r="145" spans="3:4" x14ac:dyDescent="0.25">
      <c r="C145" s="20"/>
      <c r="D145" s="21"/>
    </row>
    <row r="146" spans="3:4" x14ac:dyDescent="0.25">
      <c r="C146" s="20"/>
      <c r="D146" s="21"/>
    </row>
    <row r="147" spans="3:4" x14ac:dyDescent="0.25">
      <c r="C147" s="20"/>
      <c r="D147" s="21"/>
    </row>
    <row r="148" spans="3:4" x14ac:dyDescent="0.25">
      <c r="C148" s="20"/>
      <c r="D148" s="21"/>
    </row>
    <row r="149" spans="3:4" x14ac:dyDescent="0.25">
      <c r="C149" s="20"/>
      <c r="D149" s="21"/>
    </row>
    <row r="150" spans="3:4" x14ac:dyDescent="0.25">
      <c r="C150" s="20"/>
      <c r="D150" s="21"/>
    </row>
    <row r="151" spans="3:4" x14ac:dyDescent="0.25">
      <c r="C151" s="20"/>
      <c r="D151" s="21"/>
    </row>
    <row r="152" spans="3:4" x14ac:dyDescent="0.25">
      <c r="C152" s="20"/>
      <c r="D152" s="21"/>
    </row>
    <row r="153" spans="3:4" x14ac:dyDescent="0.25">
      <c r="C153" s="20"/>
      <c r="D153" s="21"/>
    </row>
    <row r="154" spans="3:4" x14ac:dyDescent="0.25">
      <c r="C154" s="20"/>
      <c r="D154" s="21"/>
    </row>
    <row r="155" spans="3:4" x14ac:dyDescent="0.25">
      <c r="C155" s="20"/>
      <c r="D155" s="21"/>
    </row>
    <row r="156" spans="3:4" x14ac:dyDescent="0.25">
      <c r="C156" s="20"/>
      <c r="D156" s="21"/>
    </row>
    <row r="157" spans="3:4" x14ac:dyDescent="0.25">
      <c r="C157" s="20"/>
      <c r="D157" s="21"/>
    </row>
    <row r="158" spans="3:4" x14ac:dyDescent="0.25">
      <c r="C158" s="20"/>
      <c r="D158" s="21"/>
    </row>
    <row r="159" spans="3:4" x14ac:dyDescent="0.25">
      <c r="C159" s="20"/>
      <c r="D159" s="21"/>
    </row>
    <row r="160" spans="3:4" x14ac:dyDescent="0.25">
      <c r="C160" s="20"/>
      <c r="D160" s="21"/>
    </row>
    <row r="161" spans="3:4" x14ac:dyDescent="0.25">
      <c r="C161" s="20"/>
      <c r="D161" s="21"/>
    </row>
    <row r="162" spans="3:4" x14ac:dyDescent="0.25">
      <c r="C162" s="20"/>
      <c r="D162" s="21"/>
    </row>
    <row r="163" spans="3:4" x14ac:dyDescent="0.25">
      <c r="C163" s="20"/>
      <c r="D163" s="21"/>
    </row>
    <row r="164" spans="3:4" x14ac:dyDescent="0.25">
      <c r="C164" s="20"/>
      <c r="D164" s="21"/>
    </row>
    <row r="165" spans="3:4" x14ac:dyDescent="0.25">
      <c r="C165" s="20"/>
      <c r="D165" s="21"/>
    </row>
    <row r="166" spans="3:4" x14ac:dyDescent="0.25">
      <c r="C166" s="20"/>
      <c r="D166" s="21"/>
    </row>
    <row r="167" spans="3:4" x14ac:dyDescent="0.25">
      <c r="C167" s="20"/>
      <c r="D167" s="21"/>
    </row>
    <row r="168" spans="3:4" x14ac:dyDescent="0.25">
      <c r="C168" s="20"/>
      <c r="D168" s="21"/>
    </row>
    <row r="169" spans="3:4" x14ac:dyDescent="0.25">
      <c r="C169" s="20"/>
      <c r="D169" s="21"/>
    </row>
    <row r="170" spans="3:4" x14ac:dyDescent="0.25">
      <c r="C170" s="20"/>
      <c r="D170" s="21"/>
    </row>
    <row r="171" spans="3:4" x14ac:dyDescent="0.25">
      <c r="C171" s="20"/>
      <c r="D171" s="21"/>
    </row>
    <row r="172" spans="3:4" x14ac:dyDescent="0.25">
      <c r="C172" s="20"/>
      <c r="D172" s="21"/>
    </row>
    <row r="173" spans="3:4" x14ac:dyDescent="0.25">
      <c r="C173" s="20"/>
      <c r="D173" s="21"/>
    </row>
    <row r="174" spans="3:4" x14ac:dyDescent="0.25">
      <c r="C174" s="20"/>
      <c r="D174" s="21"/>
    </row>
    <row r="175" spans="3:4" x14ac:dyDescent="0.25">
      <c r="C175" s="20"/>
      <c r="D175" s="21"/>
    </row>
    <row r="176" spans="3:4" x14ac:dyDescent="0.25">
      <c r="C176" s="20"/>
      <c r="D176" s="21"/>
    </row>
    <row r="177" spans="3:4" x14ac:dyDescent="0.25">
      <c r="C177" s="20"/>
      <c r="D177" s="21"/>
    </row>
    <row r="178" spans="3:4" x14ac:dyDescent="0.25">
      <c r="C178" s="20"/>
      <c r="D178" s="21"/>
    </row>
    <row r="179" spans="3:4" x14ac:dyDescent="0.25">
      <c r="C179" s="20"/>
      <c r="D179" s="21"/>
    </row>
    <row r="180" spans="3:4" x14ac:dyDescent="0.25">
      <c r="C180" s="20"/>
      <c r="D180" s="21"/>
    </row>
    <row r="181" spans="3:4" x14ac:dyDescent="0.25">
      <c r="C181" s="20"/>
      <c r="D181" s="21"/>
    </row>
    <row r="182" spans="3:4" x14ac:dyDescent="0.25">
      <c r="C182" s="20"/>
      <c r="D182" s="21"/>
    </row>
    <row r="183" spans="3:4" x14ac:dyDescent="0.25">
      <c r="C183" s="20"/>
      <c r="D183" s="21"/>
    </row>
    <row r="184" spans="3:4" x14ac:dyDescent="0.25">
      <c r="C184" s="20"/>
      <c r="D184" s="21"/>
    </row>
    <row r="185" spans="3:4" x14ac:dyDescent="0.25">
      <c r="C185" s="20"/>
      <c r="D185" s="21"/>
    </row>
    <row r="186" spans="3:4" x14ac:dyDescent="0.25">
      <c r="C186" s="20"/>
      <c r="D186" s="21"/>
    </row>
    <row r="187" spans="3:4" x14ac:dyDescent="0.25">
      <c r="C187" s="20"/>
      <c r="D187" s="21"/>
    </row>
    <row r="188" spans="3:4" x14ac:dyDescent="0.25">
      <c r="C188" s="20"/>
      <c r="D188" s="21"/>
    </row>
    <row r="189" spans="3:4" x14ac:dyDescent="0.25">
      <c r="C189" s="20"/>
      <c r="D189" s="21"/>
    </row>
    <row r="190" spans="3:4" x14ac:dyDescent="0.25">
      <c r="C190" s="20"/>
      <c r="D190" s="21"/>
    </row>
    <row r="191" spans="3:4" x14ac:dyDescent="0.25">
      <c r="C191" s="20"/>
      <c r="D191" s="21"/>
    </row>
    <row r="192" spans="3:4" x14ac:dyDescent="0.25">
      <c r="C192" s="20"/>
      <c r="D192" s="21"/>
    </row>
    <row r="193" spans="3:4" x14ac:dyDescent="0.25">
      <c r="C193" s="20"/>
      <c r="D193" s="21"/>
    </row>
    <row r="194" spans="3:4" x14ac:dyDescent="0.25">
      <c r="C194" s="20"/>
      <c r="D194" s="21"/>
    </row>
    <row r="195" spans="3:4" x14ac:dyDescent="0.25">
      <c r="C195" s="20"/>
      <c r="D195" s="21"/>
    </row>
    <row r="196" spans="3:4" x14ac:dyDescent="0.25">
      <c r="C196" s="20"/>
      <c r="D196" s="21"/>
    </row>
    <row r="197" spans="3:4" x14ac:dyDescent="0.25">
      <c r="C197" s="20"/>
      <c r="D197" s="21"/>
    </row>
    <row r="198" spans="3:4" x14ac:dyDescent="0.25">
      <c r="C198" s="20"/>
      <c r="D198" s="21"/>
    </row>
    <row r="199" spans="3:4" x14ac:dyDescent="0.25">
      <c r="C199" s="20"/>
      <c r="D199" s="21"/>
    </row>
    <row r="200" spans="3:4" x14ac:dyDescent="0.25">
      <c r="C200" s="20"/>
      <c r="D200" s="21"/>
    </row>
  </sheetData>
  <dataValidations count="1">
    <dataValidation type="list" allowBlank="1" showInputMessage="1" showErrorMessage="1" sqref="B3" xr:uid="{D446C3DA-4298-4C7A-BC1D-A6249E2A2177}">
      <formula1>_xlfn.ANCHORARRAY($S$2)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EE92F-C729-40DA-9986-D43C127C499F}">
  <dimension ref="A1:AK283"/>
  <sheetViews>
    <sheetView zoomScale="85" zoomScaleNormal="85" workbookViewId="0">
      <selection activeCell="X33" sqref="X33"/>
    </sheetView>
  </sheetViews>
  <sheetFormatPr defaultColWidth="8.875" defaultRowHeight="15.75" x14ac:dyDescent="0.25"/>
  <cols>
    <col min="1" max="1" width="31.5" bestFit="1" customWidth="1"/>
    <col min="2" max="2" width="30" customWidth="1"/>
    <col min="4" max="4" width="30" customWidth="1"/>
    <col min="5" max="11" width="11.625" customWidth="1"/>
    <col min="12" max="12" width="15" customWidth="1"/>
    <col min="13" max="13" width="4.625" customWidth="1"/>
    <col min="14" max="21" width="11.625" customWidth="1"/>
    <col min="22" max="22" width="4.625" customWidth="1"/>
    <col min="23" max="23" width="28.375" customWidth="1"/>
    <col min="24" max="24" width="11.625" customWidth="1"/>
    <col min="25" max="25" width="10.875" customWidth="1"/>
    <col min="26" max="26" width="18.625" bestFit="1" customWidth="1"/>
    <col min="27" max="27" width="8.125" bestFit="1" customWidth="1"/>
    <col min="28" max="28" width="56.125" bestFit="1" customWidth="1"/>
  </cols>
  <sheetData>
    <row r="1" spans="1:28" ht="24" x14ac:dyDescent="0.4">
      <c r="A1" s="5" t="s">
        <v>219</v>
      </c>
      <c r="D1" s="9" t="s">
        <v>220</v>
      </c>
    </row>
    <row r="2" spans="1:28" x14ac:dyDescent="0.25">
      <c r="D2" s="14" t="s">
        <v>221</v>
      </c>
      <c r="E2" s="13" t="s">
        <v>222</v>
      </c>
      <c r="F2" s="13" t="s">
        <v>23</v>
      </c>
      <c r="G2" s="13" t="s">
        <v>40</v>
      </c>
      <c r="H2" s="13" t="s">
        <v>31</v>
      </c>
      <c r="I2" s="13" t="s">
        <v>37</v>
      </c>
      <c r="J2" s="13" t="s">
        <v>62</v>
      </c>
      <c r="K2" s="13" t="s">
        <v>223</v>
      </c>
      <c r="L2" s="13" t="s">
        <v>224</v>
      </c>
      <c r="W2" s="15" t="s">
        <v>225</v>
      </c>
      <c r="X2" s="15"/>
      <c r="Z2" s="15" t="s">
        <v>226</v>
      </c>
      <c r="AA2" s="15"/>
      <c r="AB2" s="15"/>
    </row>
    <row r="3" spans="1:28" ht="18.75" x14ac:dyDescent="0.3">
      <c r="A3" s="6" t="s">
        <v>227</v>
      </c>
      <c r="B3" s="7">
        <f>COUNTA('Loot History'!D2:D987)</f>
        <v>278</v>
      </c>
      <c r="D3" t="str" cm="1">
        <f t="array" ref="D3:D38">IFERROR(_xlfn._xlws.SORT(_xlfn.UNIQUE(_xlfn._xlws.FILTER('Loot History'!A2:A987,'Loot History'!A2:A987&lt;&gt;""))),"")</f>
        <v>Actitibe-Thunderstrike</v>
      </c>
      <c r="E3" s="11">
        <f>IF(D3="","",COUNTIF('Loot History'!$A:$A,D3))</f>
        <v>6</v>
      </c>
      <c r="F3" s="11">
        <f>IF(D3="","",COUNTIFS('Loot History'!$A:$A,D3,'Loot History'!$G:$G,"BiS"))</f>
        <v>2</v>
      </c>
      <c r="G3" s="11">
        <f>IF(D3="","",COUNTIFS('Loot History'!$A:$A,D3,'Loot History'!$G:$G,"2nd BiS"))</f>
        <v>1</v>
      </c>
      <c r="H3" s="11">
        <f>IF(D3="","",COUNTIFS('Loot History'!$A:$A,D3,'Loot History'!$G:$G,"Upgrade"))</f>
        <v>3</v>
      </c>
      <c r="I3" s="11">
        <f>IF(D3="","",COUNTIFS('Loot History'!$A:$A,D3,'Loot History'!$G:$G,"Offspecc"))</f>
        <v>0</v>
      </c>
      <c r="J3" s="11">
        <f>IF(D3="","",COUNTIFS('Loot History'!$A:$A,D3,'Loot History'!$G:$G,"Passen"))</f>
        <v>0</v>
      </c>
      <c r="K3" s="11">
        <f t="shared" ref="K3:K29" si="0">IF(D3="","",IFERROR(E3-F3-G3-H3-I3-J3,0))</f>
        <v>0</v>
      </c>
      <c r="L3" t="str">
        <f>IF(D3="","",IFERROR(INDEX('Loot History'!$I:$I,MATCH(D3,'Loot History'!$A:$A,0)),""))</f>
        <v>SHAMAN</v>
      </c>
      <c r="W3" s="6" t="s">
        <v>228</v>
      </c>
      <c r="X3" s="6" t="s">
        <v>229</v>
      </c>
      <c r="Z3" s="6" t="s">
        <v>230</v>
      </c>
      <c r="AA3" s="6" t="s">
        <v>229</v>
      </c>
      <c r="AB3" s="6" t="s">
        <v>215</v>
      </c>
    </row>
    <row r="4" spans="1:28" ht="18.75" x14ac:dyDescent="0.3">
      <c r="A4" s="6" t="s">
        <v>231</v>
      </c>
      <c r="B4" s="7" cm="1">
        <f t="array" ref="B4">SUMPRODUCT(('Loot History'!A2:A987&lt;&gt;"")/COUNTIF('Loot History'!A2:A987,'Loot History'!A2:A987&amp;""))</f>
        <v>36.000000000000078</v>
      </c>
      <c r="D4" t="str">
        <v>Aethrîa-Thunderstrike</v>
      </c>
      <c r="E4" s="11">
        <f>IF(D4="","",COUNTIF('Loot History'!$A:$A,D4))</f>
        <v>9</v>
      </c>
      <c r="F4" s="11">
        <f>IF(D4="","",COUNTIFS('Loot History'!$A:$A,D4,'Loot History'!$G:$G,"BiS"))</f>
        <v>7</v>
      </c>
      <c r="G4" s="11">
        <f>IF(D4="","",COUNTIFS('Loot History'!$A:$A,D4,'Loot History'!$G:$G,"2nd BiS"))</f>
        <v>0</v>
      </c>
      <c r="H4" s="11">
        <f>IF(D4="","",COUNTIFS('Loot History'!$A:$A,D4,'Loot History'!$G:$G,"Upgrade"))</f>
        <v>2</v>
      </c>
      <c r="I4" s="11">
        <f>IF(D4="","",COUNTIFS('Loot History'!$A:$A,D4,'Loot History'!$G:$G,"Offspecc"))</f>
        <v>0</v>
      </c>
      <c r="J4" s="11">
        <f>IF(D4="","",COUNTIFS('Loot History'!$A:$A,D4,'Loot History'!$G:$G,"Passen"))</f>
        <v>0</v>
      </c>
      <c r="K4" s="11">
        <f t="shared" si="0"/>
        <v>0</v>
      </c>
      <c r="L4" t="str">
        <f>IF(D4="","",IFERROR(INDEX('Loot History'!$I:$I,MATCH(D4,'Loot History'!$A:$A,0)),""))</f>
        <v>MAGE</v>
      </c>
      <c r="W4" t="str" cm="1">
        <f t="array" ref="W4:W31">IFERROR(_xlfn._xlws.SORT(_xlfn.UNIQUE(_xlfn._xlws.FILTER('Loot History'!K2:K987,'Loot History'!K2:K987&lt;&gt;""))),"")</f>
        <v>Al'ar</v>
      </c>
      <c r="X4" s="11">
        <f>IF(W4="","",COUNTIF('Loot History'!$K:$K,W4))</f>
        <v>16</v>
      </c>
      <c r="Z4" s="4" cm="1">
        <f t="array" ref="Z4:Z15">IFERROR(_xlfn._xlws.SORT(_xlfn.UNIQUE(_xlfn._xlws.FILTER('Loot History'!B2:B987,'Loot History'!B2:B987&lt;&gt;""))),"")</f>
        <v>46160</v>
      </c>
      <c r="AA4" s="11">
        <f>IF(Z4="","",COUNTIF('Loot History'!$B:$B,Z4))</f>
        <v>26</v>
      </c>
      <c r="AB4" t="str">
        <f>IF(Z4="","",IFERROR(INDEX('Loot History'!$J:$J,MATCH(Z4,'Loot History'!$B:$B,0)),""))</f>
        <v>Coilfang: Serpentshrine Cavern-25 Player</v>
      </c>
    </row>
    <row r="5" spans="1:28" ht="18.75" x14ac:dyDescent="0.3">
      <c r="A5" s="6" t="s">
        <v>232</v>
      </c>
      <c r="B5" s="7" cm="1">
        <f t="array" ref="B5">SUMPRODUCT(('Loot History'!B2:B987&lt;&gt;"")/COUNTIF('Loot History'!B2:B987,'Loot History'!B2:B987&amp;""))</f>
        <v>11.999999999999996</v>
      </c>
      <c r="D5" t="str">
        <v>Alàén-Thunderstrike</v>
      </c>
      <c r="E5" s="11">
        <f>IF(D5="","",COUNTIF('Loot History'!$A:$A,D5))</f>
        <v>13</v>
      </c>
      <c r="F5" s="11">
        <f>IF(D5="","",COUNTIFS('Loot History'!$A:$A,D5,'Loot History'!$G:$G,"BiS"))</f>
        <v>3</v>
      </c>
      <c r="G5" s="11">
        <f>IF(D5="","",COUNTIFS('Loot History'!$A:$A,D5,'Loot History'!$G:$G,"2nd BiS"))</f>
        <v>2</v>
      </c>
      <c r="H5" s="11">
        <f>IF(D5="","",COUNTIFS('Loot History'!$A:$A,D5,'Loot History'!$G:$G,"Upgrade"))</f>
        <v>3</v>
      </c>
      <c r="I5" s="11">
        <f>IF(D5="","",COUNTIFS('Loot History'!$A:$A,D5,'Loot History'!$G:$G,"Offspecc"))</f>
        <v>5</v>
      </c>
      <c r="J5" s="11">
        <f>IF(D5="","",COUNTIFS('Loot History'!$A:$A,D5,'Loot History'!$G:$G,"Passen"))</f>
        <v>0</v>
      </c>
      <c r="K5" s="11">
        <f t="shared" si="0"/>
        <v>0</v>
      </c>
      <c r="L5" t="str">
        <f>IF(D5="","",IFERROR(INDEX('Loot History'!$I:$I,MATCH(D5,'Loot History'!$A:$A,0)),""))</f>
        <v>PALADIN</v>
      </c>
      <c r="W5" t="str">
        <v>Das Grauen aus der Tiefe</v>
      </c>
      <c r="X5" s="11">
        <f>IF(W5="","",COUNTIF('Loot History'!$K:$K,W5))</f>
        <v>3</v>
      </c>
      <c r="Z5" s="4">
        <v>46161</v>
      </c>
      <c r="AA5" s="11">
        <f>IF(Z5="","",COUNTIF('Loot History'!$B:$B,Z5))</f>
        <v>14</v>
      </c>
      <c r="AB5" t="str">
        <f>IF(Z5="","",IFERROR(INDEX('Loot History'!$J:$J,MATCH(Z5,'Loot History'!$B:$B,0)),""))</f>
        <v>Tempest Keep-25 Player</v>
      </c>
    </row>
    <row r="6" spans="1:28" ht="18.75" x14ac:dyDescent="0.3">
      <c r="A6" s="6" t="s">
        <v>233</v>
      </c>
      <c r="B6" s="8">
        <f>_xlfn.MINIFS('Loot History'!B2:B987,'Loot History'!B2:B987,"&gt;0")</f>
        <v>46160</v>
      </c>
      <c r="D6" t="str">
        <v>Bigfutti-Thunderstrike</v>
      </c>
      <c r="E6" s="11">
        <f>IF(D6="","",COUNTIF('Loot History'!$A:$A,D6))</f>
        <v>12</v>
      </c>
      <c r="F6" s="11">
        <f>IF(D6="","",COUNTIFS('Loot History'!$A:$A,D6,'Loot History'!$G:$G,"BiS"))</f>
        <v>7</v>
      </c>
      <c r="G6" s="11">
        <f>IF(D6="","",COUNTIFS('Loot History'!$A:$A,D6,'Loot History'!$G:$G,"2nd BiS"))</f>
        <v>0</v>
      </c>
      <c r="H6" s="11">
        <f>IF(D6="","",COUNTIFS('Loot History'!$A:$A,D6,'Loot History'!$G:$G,"Upgrade"))</f>
        <v>1</v>
      </c>
      <c r="I6" s="11">
        <f>IF(D6="","",COUNTIFS('Loot History'!$A:$A,D6,'Loot History'!$G:$G,"Offspecc"))</f>
        <v>4</v>
      </c>
      <c r="J6" s="11">
        <f>IF(D6="","",COUNTIFS('Loot History'!$A:$A,D6,'Loot History'!$G:$G,"Passen"))</f>
        <v>0</v>
      </c>
      <c r="K6" s="11">
        <f t="shared" si="0"/>
        <v>0</v>
      </c>
      <c r="L6" t="str">
        <f>IF(D6="","",IFERROR(INDEX('Loot History'!$I:$I,MATCH(D6,'Loot History'!$A:$A,0)),""))</f>
        <v>PRIEST</v>
      </c>
      <c r="W6" t="str">
        <v>Fathom-Lord Karathress</v>
      </c>
      <c r="X6" s="11">
        <f>IF(W6="","",COUNTIF('Loot History'!$K:$K,W6))</f>
        <v>20</v>
      </c>
      <c r="Z6" s="4">
        <v>46163</v>
      </c>
      <c r="AA6" s="11">
        <f>IF(Z6="","",COUNTIF('Loot History'!$B:$B,Z6))</f>
        <v>15</v>
      </c>
      <c r="AB6" t="str">
        <f>IF(Z6="","",IFERROR(INDEX('Loot History'!$J:$J,MATCH(Z6,'Loot History'!$B:$B,0)),""))</f>
        <v>Coilfang: Serpentshrine Cavern-25 Player</v>
      </c>
    </row>
    <row r="7" spans="1:28" ht="18.75" x14ac:dyDescent="0.3">
      <c r="A7" s="6" t="s">
        <v>234</v>
      </c>
      <c r="B7" s="8">
        <f>MAX('Loot History'!B2:B987)</f>
        <v>46202</v>
      </c>
      <c r="D7" t="str">
        <v>Desquite-Thunderstrike</v>
      </c>
      <c r="E7" s="11">
        <f>IF(D7="","",COUNTIF('Loot History'!$A:$A,D7))</f>
        <v>5</v>
      </c>
      <c r="F7" s="11">
        <f>IF(D7="","",COUNTIFS('Loot History'!$A:$A,D7,'Loot History'!$G:$G,"BiS"))</f>
        <v>1</v>
      </c>
      <c r="G7" s="11">
        <f>IF(D7="","",COUNTIFS('Loot History'!$A:$A,D7,'Loot History'!$G:$G,"2nd BiS"))</f>
        <v>0</v>
      </c>
      <c r="H7" s="11">
        <f>IF(D7="","",COUNTIFS('Loot History'!$A:$A,D7,'Loot History'!$G:$G,"Upgrade"))</f>
        <v>0</v>
      </c>
      <c r="I7" s="11">
        <f>IF(D7="","",COUNTIFS('Loot History'!$A:$A,D7,'Loot History'!$G:$G,"Offspecc"))</f>
        <v>2</v>
      </c>
      <c r="J7" s="11">
        <f>IF(D7="","",COUNTIFS('Loot History'!$A:$A,D7,'Loot History'!$G:$G,"Passen"))</f>
        <v>0</v>
      </c>
      <c r="K7" s="11">
        <f t="shared" si="0"/>
        <v>2</v>
      </c>
      <c r="L7" t="str">
        <f>IF(D7="","",IFERROR(INDEX('Loot History'!$I:$I,MATCH(D7,'Loot History'!$A:$A,0)),""))</f>
        <v>PRIEST</v>
      </c>
      <c r="W7" t="str">
        <v>Gruul der Drachenschlächter</v>
      </c>
      <c r="X7" s="11">
        <f>IF(W7="","",COUNTIF('Loot History'!$K:$K,W7))</f>
        <v>10</v>
      </c>
      <c r="Z7" s="4">
        <v>46167</v>
      </c>
      <c r="AA7" s="11">
        <f>IF(Z7="","",COUNTIF('Loot History'!$B:$B,Z7))</f>
        <v>17</v>
      </c>
      <c r="AB7" t="str">
        <f>IF(Z7="","",IFERROR(INDEX('Loot History'!$J:$J,MATCH(Z7,'Loot History'!$B:$B,0)),""))</f>
        <v>Tempest Keep-25 Player</v>
      </c>
    </row>
    <row r="8" spans="1:28" ht="18.75" x14ac:dyDescent="0.3">
      <c r="A8" s="6" t="s">
        <v>235</v>
      </c>
      <c r="B8" s="7" cm="1">
        <f t="array" ref="B8">SUMPRODUCT(('Loot History'!K2:K987&lt;&gt;"")/COUNTIF('Loot History'!K2:K987,'Loot History'!K2:K987&amp;""))</f>
        <v>27.999999999999975</v>
      </c>
      <c r="D8" t="str">
        <v>Fetzine-Thunderstrike</v>
      </c>
      <c r="E8" s="11">
        <f>IF(D8="","",COUNTIF('Loot History'!$A:$A,D8))</f>
        <v>13</v>
      </c>
      <c r="F8" s="11">
        <f>IF(D8="","",COUNTIFS('Loot History'!$A:$A,D8,'Loot History'!$G:$G,"BiS"))</f>
        <v>7</v>
      </c>
      <c r="G8" s="11">
        <f>IF(D8="","",COUNTIFS('Loot History'!$A:$A,D8,'Loot History'!$G:$G,"2nd BiS"))</f>
        <v>2</v>
      </c>
      <c r="H8" s="11">
        <f>IF(D8="","",COUNTIFS('Loot History'!$A:$A,D8,'Loot History'!$G:$G,"Upgrade"))</f>
        <v>0</v>
      </c>
      <c r="I8" s="11">
        <f>IF(D8="","",COUNTIFS('Loot History'!$A:$A,D8,'Loot History'!$G:$G,"Offspecc"))</f>
        <v>3</v>
      </c>
      <c r="J8" s="11">
        <f>IF(D8="","",COUNTIFS('Loot History'!$A:$A,D8,'Loot History'!$G:$G,"Passen"))</f>
        <v>0</v>
      </c>
      <c r="K8" s="11">
        <f t="shared" si="0"/>
        <v>1</v>
      </c>
      <c r="L8" t="str">
        <f>IF(D8="","",IFERROR(INDEX('Loot History'!$I:$I,MATCH(D8,'Loot History'!$A:$A,0)),""))</f>
        <v>HUNTER</v>
      </c>
      <c r="W8" t="str">
        <v>Gruul the Dragonkiller</v>
      </c>
      <c r="X8" s="11">
        <f>IF(W8="","",COUNTIF('Loot History'!$K:$K,W8))</f>
        <v>10</v>
      </c>
      <c r="Z8" s="4">
        <v>46170</v>
      </c>
      <c r="AA8" s="11">
        <f>IF(Z8="","",COUNTIF('Loot History'!$B:$B,Z8))</f>
        <v>38</v>
      </c>
      <c r="AB8" t="str">
        <f>IF(Z8="","",IFERROR(INDEX('Loot History'!$J:$J,MATCH(Z8,'Loot History'!$B:$B,0)),""))</f>
        <v>Coilfang: Serpentshrine Cavern-25 Player</v>
      </c>
    </row>
    <row r="9" spans="1:28" x14ac:dyDescent="0.25">
      <c r="D9" t="str">
        <v>Flieege-Thunderstrike</v>
      </c>
      <c r="E9" s="11">
        <f>IF(D9="","",COUNTIF('Loot History'!$A:$A,D9))</f>
        <v>4</v>
      </c>
      <c r="F9" s="11">
        <f>IF(D9="","",COUNTIFS('Loot History'!$A:$A,D9,'Loot History'!$G:$G,"BiS"))</f>
        <v>4</v>
      </c>
      <c r="G9" s="11">
        <f>IF(D9="","",COUNTIFS('Loot History'!$A:$A,D9,'Loot History'!$G:$G,"2nd BiS"))</f>
        <v>0</v>
      </c>
      <c r="H9" s="11">
        <f>IF(D9="","",COUNTIFS('Loot History'!$A:$A,D9,'Loot History'!$G:$G,"Upgrade"))</f>
        <v>0</v>
      </c>
      <c r="I9" s="11">
        <f>IF(D9="","",COUNTIFS('Loot History'!$A:$A,D9,'Loot History'!$G:$G,"Offspecc"))</f>
        <v>0</v>
      </c>
      <c r="J9" s="11">
        <f>IF(D9="","",COUNTIFS('Loot History'!$A:$A,D9,'Loot History'!$G:$G,"Passen"))</f>
        <v>0</v>
      </c>
      <c r="K9" s="11">
        <f t="shared" si="0"/>
        <v>0</v>
      </c>
      <c r="L9" t="str">
        <f>IF(D9="","",IFERROR(INDEX('Loot History'!$I:$I,MATCH(D9,'Loot History'!$A:$A,0)),""))</f>
        <v>WARLOCK</v>
      </c>
      <c r="W9" t="str">
        <v>High Astromancer Solarian</v>
      </c>
      <c r="X9" s="11">
        <f>IF(W9="","",COUNTIF('Loot History'!$K:$K,W9))</f>
        <v>16</v>
      </c>
      <c r="Z9" s="4">
        <v>46174</v>
      </c>
      <c r="AA9" s="11">
        <f>IF(Z9="","",COUNTIF('Loot History'!$B:$B,Z9))</f>
        <v>13</v>
      </c>
      <c r="AB9" t="str">
        <f>IF(Z9="","",IFERROR(INDEX('Loot History'!$J:$J,MATCH(Z9,'Loot History'!$B:$B,0)),""))</f>
        <v>Tempest Keep-25 Player</v>
      </c>
    </row>
    <row r="10" spans="1:28" x14ac:dyDescent="0.25">
      <c r="D10" t="str">
        <v>Gerdarogers-Thunderstrike</v>
      </c>
      <c r="E10" s="11">
        <f>IF(D10="","",COUNTIF('Loot History'!$A:$A,D10))</f>
        <v>6</v>
      </c>
      <c r="F10" s="11">
        <f>IF(D10="","",COUNTIFS('Loot History'!$A:$A,D10,'Loot History'!$G:$G,"BiS"))</f>
        <v>3</v>
      </c>
      <c r="G10" s="11">
        <f>IF(D10="","",COUNTIFS('Loot History'!$A:$A,D10,'Loot History'!$G:$G,"2nd BiS"))</f>
        <v>1</v>
      </c>
      <c r="H10" s="11">
        <f>IF(D10="","",COUNTIFS('Loot History'!$A:$A,D10,'Loot History'!$G:$G,"Upgrade"))</f>
        <v>1</v>
      </c>
      <c r="I10" s="11">
        <f>IF(D10="","",COUNTIFS('Loot History'!$A:$A,D10,'Loot History'!$G:$G,"Offspecc"))</f>
        <v>1</v>
      </c>
      <c r="J10" s="11">
        <f>IF(D10="","",COUNTIFS('Loot History'!$A:$A,D10,'Loot History'!$G:$G,"Passen"))</f>
        <v>0</v>
      </c>
      <c r="K10" s="11">
        <f t="shared" si="0"/>
        <v>0</v>
      </c>
      <c r="L10" t="str">
        <f>IF(D10="","",IFERROR(INDEX('Loot History'!$I:$I,MATCH(D10,'Loot History'!$A:$A,0)),""))</f>
        <v>WARLOCK</v>
      </c>
      <c r="W10" t="str">
        <v>High King Maulgar</v>
      </c>
      <c r="X10" s="11">
        <f>IF(W10="","",COUNTIF('Loot History'!$K:$K,W10))</f>
        <v>8</v>
      </c>
      <c r="Z10" s="4">
        <v>46177</v>
      </c>
      <c r="AA10" s="11">
        <f>IF(Z10="","",COUNTIF('Loot History'!$B:$B,Z10))</f>
        <v>22</v>
      </c>
      <c r="AB10" t="str">
        <f>IF(Z10="","",IFERROR(INDEX('Loot History'!$J:$J,MATCH(Z10,'Loot History'!$B:$B,0)),""))</f>
        <v>Coilfang: Serpentshrine Cavern-25 Player</v>
      </c>
    </row>
    <row r="11" spans="1:28" x14ac:dyDescent="0.25">
      <c r="D11" t="str">
        <v>Gorgohc-Thunderstrike</v>
      </c>
      <c r="E11" s="11">
        <f>IF(D11="","",COUNTIF('Loot History'!$A:$A,D11))</f>
        <v>4</v>
      </c>
      <c r="F11" s="11">
        <f>IF(D11="","",COUNTIFS('Loot History'!$A:$A,D11,'Loot History'!$G:$G,"BiS"))</f>
        <v>0</v>
      </c>
      <c r="G11" s="11">
        <f>IF(D11="","",COUNTIFS('Loot History'!$A:$A,D11,'Loot History'!$G:$G,"2nd BiS"))</f>
        <v>0</v>
      </c>
      <c r="H11" s="11">
        <f>IF(D11="","",COUNTIFS('Loot History'!$A:$A,D11,'Loot History'!$G:$G,"Upgrade"))</f>
        <v>4</v>
      </c>
      <c r="I11" s="11">
        <f>IF(D11="","",COUNTIFS('Loot History'!$A:$A,D11,'Loot History'!$G:$G,"Offspecc"))</f>
        <v>0</v>
      </c>
      <c r="J11" s="11">
        <f>IF(D11="","",COUNTIFS('Loot History'!$A:$A,D11,'Loot History'!$G:$G,"Passen"))</f>
        <v>0</v>
      </c>
      <c r="K11" s="11">
        <f t="shared" si="0"/>
        <v>0</v>
      </c>
      <c r="L11" t="str">
        <f>IF(D11="","",IFERROR(INDEX('Loot History'!$I:$I,MATCH(D11,'Loot History'!$A:$A,0)),""))</f>
        <v>PALADIN</v>
      </c>
      <c r="W11" t="str">
        <v>Hochastromantin Solarian</v>
      </c>
      <c r="X11" s="11">
        <f>IF(W11="","",COUNTIF('Loot History'!$K:$K,W11))</f>
        <v>3</v>
      </c>
      <c r="Z11" s="4">
        <v>46181</v>
      </c>
      <c r="AA11" s="11">
        <f>IF(Z11="","",COUNTIF('Loot History'!$B:$B,Z11))</f>
        <v>27</v>
      </c>
      <c r="AB11" t="str">
        <f>IF(Z11="","",IFERROR(INDEX('Loot History'!$J:$J,MATCH(Z11,'Loot History'!$B:$B,0)),""))</f>
        <v>Tempest Keep-25 Player</v>
      </c>
    </row>
    <row r="12" spans="1:28" x14ac:dyDescent="0.25">
      <c r="D12" t="str">
        <v>Grathmok-Thunderstrike</v>
      </c>
      <c r="E12" s="11">
        <f>IF(D12="","",COUNTIF('Loot History'!$A:$A,D12))</f>
        <v>6</v>
      </c>
      <c r="F12" s="11">
        <f>IF(D12="","",COUNTIFS('Loot History'!$A:$A,D12,'Loot History'!$G:$G,"BiS"))</f>
        <v>4</v>
      </c>
      <c r="G12" s="11">
        <f>IF(D12="","",COUNTIFS('Loot History'!$A:$A,D12,'Loot History'!$G:$G,"2nd BiS"))</f>
        <v>0</v>
      </c>
      <c r="H12" s="11">
        <f>IF(D12="","",COUNTIFS('Loot History'!$A:$A,D12,'Loot History'!$G:$G,"Upgrade"))</f>
        <v>1</v>
      </c>
      <c r="I12" s="11">
        <f>IF(D12="","",COUNTIFS('Loot History'!$A:$A,D12,'Loot History'!$G:$G,"Offspecc"))</f>
        <v>1</v>
      </c>
      <c r="J12" s="11">
        <f>IF(D12="","",COUNTIFS('Loot History'!$A:$A,D12,'Loot History'!$G:$G,"Passen"))</f>
        <v>0</v>
      </c>
      <c r="K12" s="11">
        <f t="shared" si="0"/>
        <v>0</v>
      </c>
      <c r="L12" t="str">
        <f>IF(D12="","",IFERROR(INDEX('Loot History'!$I:$I,MATCH(D12,'Loot History'!$A:$A,0)),""))</f>
        <v>SHAMAN</v>
      </c>
      <c r="W12" t="str">
        <v>Hochkönig Maulgar</v>
      </c>
      <c r="X12" s="11">
        <f>IF(W12="","",COUNTIF('Loot History'!$K:$K,W12))</f>
        <v>2</v>
      </c>
      <c r="Z12" s="4">
        <v>46188</v>
      </c>
      <c r="AA12" s="11">
        <f>IF(Z12="","",COUNTIF('Loot History'!$B:$B,Z12))</f>
        <v>38</v>
      </c>
      <c r="AB12" t="str">
        <f>IF(Z12="","",IFERROR(INDEX('Loot History'!$J:$J,MATCH(Z12,'Loot History'!$B:$B,0)),""))</f>
        <v>Coilfang: Serpentshrine Cavern-25 Player</v>
      </c>
    </row>
    <row r="13" spans="1:28" x14ac:dyDescent="0.25">
      <c r="D13" t="str">
        <v>Heislbärt-Thunderstrike</v>
      </c>
      <c r="E13" s="11">
        <f>IF(D13="","",COUNTIF('Loot History'!$A:$A,D13))</f>
        <v>7</v>
      </c>
      <c r="F13" s="11">
        <f>IF(D13="","",COUNTIFS('Loot History'!$A:$A,D13,'Loot History'!$G:$G,"BiS"))</f>
        <v>6</v>
      </c>
      <c r="G13" s="11">
        <f>IF(D13="","",COUNTIFS('Loot History'!$A:$A,D13,'Loot History'!$G:$G,"2nd BiS"))</f>
        <v>0</v>
      </c>
      <c r="H13" s="11">
        <f>IF(D13="","",COUNTIFS('Loot History'!$A:$A,D13,'Loot History'!$G:$G,"Upgrade"))</f>
        <v>0</v>
      </c>
      <c r="I13" s="11">
        <f>IF(D13="","",COUNTIFS('Loot History'!$A:$A,D13,'Loot History'!$G:$G,"Offspecc"))</f>
        <v>0</v>
      </c>
      <c r="J13" s="11">
        <f>IF(D13="","",COUNTIFS('Loot History'!$A:$A,D13,'Loot History'!$G:$G,"Passen"))</f>
        <v>0</v>
      </c>
      <c r="K13" s="11">
        <f t="shared" si="0"/>
        <v>1</v>
      </c>
      <c r="L13" t="str">
        <f>IF(D13="","",IFERROR(INDEX('Loot History'!$I:$I,MATCH(D13,'Loot History'!$A:$A,0)),""))</f>
        <v>DRUID</v>
      </c>
      <c r="W13" t="str">
        <v>Hydross der Unstete</v>
      </c>
      <c r="X13" s="11">
        <f>IF(W13="","",COUNTIF('Loot History'!$K:$K,W13))</f>
        <v>3</v>
      </c>
      <c r="Z13" s="4">
        <v>46195</v>
      </c>
      <c r="AA13" s="11">
        <f>IF(Z13="","",COUNTIF('Loot History'!$B:$B,Z13))</f>
        <v>21</v>
      </c>
      <c r="AB13" t="str">
        <f>IF(Z13="","",IFERROR(INDEX('Loot History'!$J:$J,MATCH(Z13,'Loot History'!$B:$B,0)),""))</f>
        <v>Tempest Keep-25 Player</v>
      </c>
    </row>
    <row r="14" spans="1:28" x14ac:dyDescent="0.25">
      <c r="D14" t="str">
        <v>Hutro-Thunderstrike</v>
      </c>
      <c r="E14" s="11">
        <f>IF(D14="","",COUNTIF('Loot History'!$A:$A,D14))</f>
        <v>6</v>
      </c>
      <c r="F14" s="11">
        <f>IF(D14="","",COUNTIFS('Loot History'!$A:$A,D14,'Loot History'!$G:$G,"BiS"))</f>
        <v>5</v>
      </c>
      <c r="G14" s="11">
        <f>IF(D14="","",COUNTIFS('Loot History'!$A:$A,D14,'Loot History'!$G:$G,"2nd BiS"))</f>
        <v>0</v>
      </c>
      <c r="H14" s="11">
        <f>IF(D14="","",COUNTIFS('Loot History'!$A:$A,D14,'Loot History'!$G:$G,"Upgrade"))</f>
        <v>0</v>
      </c>
      <c r="I14" s="11">
        <f>IF(D14="","",COUNTIFS('Loot History'!$A:$A,D14,'Loot History'!$G:$G,"Offspecc"))</f>
        <v>1</v>
      </c>
      <c r="J14" s="11">
        <f>IF(D14="","",COUNTIFS('Loot History'!$A:$A,D14,'Loot History'!$G:$G,"Passen"))</f>
        <v>0</v>
      </c>
      <c r="K14" s="11">
        <f t="shared" si="0"/>
        <v>0</v>
      </c>
      <c r="L14" t="str">
        <f>IF(D14="","",IFERROR(INDEX('Loot History'!$I:$I,MATCH(D14,'Loot History'!$A:$A,0)),""))</f>
        <v>ROGUE</v>
      </c>
      <c r="W14" t="str">
        <v>Hydross the Unstable</v>
      </c>
      <c r="X14" s="11">
        <f>IF(W14="","",COUNTIF('Loot History'!$K:$K,W14))</f>
        <v>11</v>
      </c>
      <c r="Z14" s="4">
        <v>46198</v>
      </c>
      <c r="AA14" s="11">
        <f>IF(Z14="","",COUNTIF('Loot History'!$B:$B,Z14))</f>
        <v>22</v>
      </c>
      <c r="AB14" t="str">
        <f>IF(Z14="","",IFERROR(INDEX('Loot History'!$J:$J,MATCH(Z14,'Loot History'!$B:$B,0)),""))</f>
        <v>Coilfang: Serpentshrine Cavern-25 Player</v>
      </c>
    </row>
    <row r="15" spans="1:28" x14ac:dyDescent="0.25">
      <c r="D15" t="str">
        <v>Keindaemon-Thunderstrike</v>
      </c>
      <c r="E15" s="11">
        <f>IF(D15="","",COUNTIF('Loot History'!$A:$A,D15))</f>
        <v>13</v>
      </c>
      <c r="F15" s="11">
        <f>IF(D15="","",COUNTIFS('Loot History'!$A:$A,D15,'Loot History'!$G:$G,"BiS"))</f>
        <v>8</v>
      </c>
      <c r="G15" s="11">
        <f>IF(D15="","",COUNTIFS('Loot History'!$A:$A,D15,'Loot History'!$G:$G,"2nd BiS"))</f>
        <v>1</v>
      </c>
      <c r="H15" s="11">
        <f>IF(D15="","",COUNTIFS('Loot History'!$A:$A,D15,'Loot History'!$G:$G,"Upgrade"))</f>
        <v>2</v>
      </c>
      <c r="I15" s="11">
        <f>IF(D15="","",COUNTIFS('Loot History'!$A:$A,D15,'Loot History'!$G:$G,"Offspecc"))</f>
        <v>2</v>
      </c>
      <c r="J15" s="11">
        <f>IF(D15="","",COUNTIFS('Loot History'!$A:$A,D15,'Loot History'!$G:$G,"Passen"))</f>
        <v>0</v>
      </c>
      <c r="K15" s="11">
        <f t="shared" si="0"/>
        <v>0</v>
      </c>
      <c r="L15" t="str">
        <f>IF(D15="","",IFERROR(INDEX('Loot History'!$I:$I,MATCH(D15,'Loot History'!$A:$A,0)),""))</f>
        <v>DRUID</v>
      </c>
      <c r="W15" t="str">
        <v>Kael'thas Sonnenwanderer</v>
      </c>
      <c r="X15" s="11">
        <f>IF(W15="","",COUNTIF('Loot History'!$K:$K,W15))</f>
        <v>12</v>
      </c>
      <c r="Z15" s="4">
        <v>46202</v>
      </c>
      <c r="AA15" s="11">
        <f>IF(Z15="","",COUNTIF('Loot History'!$B:$B,Z15))</f>
        <v>25</v>
      </c>
      <c r="AB15" t="str">
        <f>IF(Z15="","",IFERROR(INDEX('Loot History'!$J:$J,MATCH(Z15,'Loot History'!$B:$B,0)),""))</f>
        <v>Gruuls Lair-25 Player</v>
      </c>
    </row>
    <row r="16" spans="1:28" x14ac:dyDescent="0.25">
      <c r="D16" t="str">
        <v>Klaaw-Thunderstrike</v>
      </c>
      <c r="E16" s="11">
        <f>IF(D16="","",COUNTIF('Loot History'!$A:$A,D16))</f>
        <v>7</v>
      </c>
      <c r="F16" s="11">
        <f>IF(D16="","",COUNTIFS('Loot History'!$A:$A,D16,'Loot History'!$G:$G,"BiS"))</f>
        <v>4</v>
      </c>
      <c r="G16" s="11">
        <f>IF(D16="","",COUNTIFS('Loot History'!$A:$A,D16,'Loot History'!$G:$G,"2nd BiS"))</f>
        <v>2</v>
      </c>
      <c r="H16" s="11">
        <f>IF(D16="","",COUNTIFS('Loot History'!$A:$A,D16,'Loot History'!$G:$G,"Upgrade"))</f>
        <v>1</v>
      </c>
      <c r="I16" s="11">
        <f>IF(D16="","",COUNTIFS('Loot History'!$A:$A,D16,'Loot History'!$G:$G,"Offspecc"))</f>
        <v>0</v>
      </c>
      <c r="J16" s="11">
        <f>IF(D16="","",COUNTIFS('Loot History'!$A:$A,D16,'Loot History'!$G:$G,"Passen"))</f>
        <v>0</v>
      </c>
      <c r="K16" s="11">
        <f t="shared" si="0"/>
        <v>0</v>
      </c>
      <c r="L16" t="str">
        <f>IF(D16="","",IFERROR(INDEX('Loot History'!$I:$I,MATCH(D16,'Loot History'!$A:$A,0)),""))</f>
        <v>HUNTER</v>
      </c>
      <c r="W16" t="str">
        <v>Kael'thas Sunstrider</v>
      </c>
      <c r="X16" s="11">
        <f>IF(W16="","",COUNTIF('Loot History'!$K:$K,W16))</f>
        <v>22</v>
      </c>
      <c r="Z16" s="4"/>
      <c r="AA16" s="11" t="str">
        <f>IF(Z16="","",COUNTIF('Loot History'!$B:$B,Z16))</f>
        <v/>
      </c>
      <c r="AB16" t="str">
        <f>IF(Z16="","",IFERROR(INDEX('Loot History'!$J:$J,MATCH(Z16,'Loot History'!$B:$B,0)),""))</f>
        <v/>
      </c>
    </row>
    <row r="17" spans="4:28" x14ac:dyDescent="0.25">
      <c r="D17" t="str">
        <v>Lilyasx-Thunderstrike</v>
      </c>
      <c r="E17" s="11">
        <f>IF(D17="","",COUNTIF('Loot History'!$A:$A,D17))</f>
        <v>2</v>
      </c>
      <c r="F17" s="11">
        <f>IF(D17="","",COUNTIFS('Loot History'!$A:$A,D17,'Loot History'!$G:$G,"BiS"))</f>
        <v>0</v>
      </c>
      <c r="G17" s="11">
        <f>IF(D17="","",COUNTIFS('Loot History'!$A:$A,D17,'Loot History'!$G:$G,"2nd BiS"))</f>
        <v>1</v>
      </c>
      <c r="H17" s="11">
        <f>IF(D17="","",COUNTIFS('Loot History'!$A:$A,D17,'Loot History'!$G:$G,"Upgrade"))</f>
        <v>1</v>
      </c>
      <c r="I17" s="11">
        <f>IF(D17="","",COUNTIFS('Loot History'!$A:$A,D17,'Loot History'!$G:$G,"Offspecc"))</f>
        <v>0</v>
      </c>
      <c r="J17" s="11">
        <f>IF(D17="","",COUNTIFS('Loot History'!$A:$A,D17,'Loot History'!$G:$G,"Passen"))</f>
        <v>0</v>
      </c>
      <c r="K17" s="11">
        <f t="shared" si="0"/>
        <v>0</v>
      </c>
      <c r="L17" t="str">
        <f>IF(D17="","",IFERROR(INDEX('Loot History'!$I:$I,MATCH(D17,'Loot History'!$A:$A,0)),""))</f>
        <v>DRUID</v>
      </c>
      <c r="W17" t="str">
        <v>Lady Vashj</v>
      </c>
      <c r="X17" s="11">
        <f>IF(W17="","",COUNTIF('Loot History'!$K:$K,W17))</f>
        <v>23</v>
      </c>
      <c r="Z17" s="4"/>
      <c r="AA17" s="11" t="str">
        <f>IF(Z17="","",COUNTIF('Loot History'!$B:$B,Z17))</f>
        <v/>
      </c>
      <c r="AB17" t="str">
        <f>IF(Z17="","",IFERROR(INDEX('Loot History'!$J:$J,MATCH(Z17,'Loot History'!$B:$B,0)),""))</f>
        <v/>
      </c>
    </row>
    <row r="18" spans="4:28" x14ac:dyDescent="0.25">
      <c r="D18" t="str">
        <v>Mahway-Thunderstrike</v>
      </c>
      <c r="E18" s="11">
        <f>IF(D18="","",COUNTIF('Loot History'!$A:$A,D18))</f>
        <v>6</v>
      </c>
      <c r="F18" s="11">
        <f>IF(D18="","",COUNTIFS('Loot History'!$A:$A,D18,'Loot History'!$G:$G,"BiS"))</f>
        <v>1</v>
      </c>
      <c r="G18" s="11">
        <f>IF(D18="","",COUNTIFS('Loot History'!$A:$A,D18,'Loot History'!$G:$G,"2nd BiS"))</f>
        <v>3</v>
      </c>
      <c r="H18" s="11">
        <f>IF(D18="","",COUNTIFS('Loot History'!$A:$A,D18,'Loot History'!$G:$G,"Upgrade"))</f>
        <v>2</v>
      </c>
      <c r="I18" s="11">
        <f>IF(D18="","",COUNTIFS('Loot History'!$A:$A,D18,'Loot History'!$G:$G,"Offspecc"))</f>
        <v>0</v>
      </c>
      <c r="J18" s="11">
        <f>IF(D18="","",COUNTIFS('Loot History'!$A:$A,D18,'Loot History'!$G:$G,"Passen"))</f>
        <v>0</v>
      </c>
      <c r="K18" s="11">
        <f t="shared" si="0"/>
        <v>0</v>
      </c>
      <c r="L18" t="str">
        <f>IF(D18="","",IFERROR(INDEX('Loot History'!$I:$I,MATCH(D18,'Loot History'!$A:$A,0)),""))</f>
        <v>SHAMAN</v>
      </c>
      <c r="W18" t="str">
        <v>Lady Vashj — name unverified</v>
      </c>
      <c r="X18" s="11">
        <f>IF(W18="","",COUNTIF('Loot History'!$K:$K,W18))</f>
        <v>1</v>
      </c>
      <c r="Z18" s="4"/>
      <c r="AA18" s="11" t="str">
        <f>IF(Z18="","",COUNTIF('Loot History'!$B:$B,Z18))</f>
        <v/>
      </c>
      <c r="AB18" t="str">
        <f>IF(Z18="","",IFERROR(INDEX('Loot History'!$J:$J,MATCH(Z18,'Loot History'!$B:$B,0)),""))</f>
        <v/>
      </c>
    </row>
    <row r="19" spans="4:28" x14ac:dyDescent="0.25">
      <c r="D19" t="str">
        <v>Mardinez-Thunderstrike</v>
      </c>
      <c r="E19" s="11">
        <f>IF(D19="","",COUNTIF('Loot History'!$A:$A,D19))</f>
        <v>9</v>
      </c>
      <c r="F19" s="11">
        <f>IF(D19="","",COUNTIFS('Loot History'!$A:$A,D19,'Loot History'!$G:$G,"BiS"))</f>
        <v>7</v>
      </c>
      <c r="G19" s="11">
        <f>IF(D19="","",COUNTIFS('Loot History'!$A:$A,D19,'Loot History'!$G:$G,"2nd BiS"))</f>
        <v>2</v>
      </c>
      <c r="H19" s="11">
        <f>IF(D19="","",COUNTIFS('Loot History'!$A:$A,D19,'Loot History'!$G:$G,"Upgrade"))</f>
        <v>0</v>
      </c>
      <c r="I19" s="11">
        <f>IF(D19="","",COUNTIFS('Loot History'!$A:$A,D19,'Loot History'!$G:$G,"Offspecc"))</f>
        <v>0</v>
      </c>
      <c r="J19" s="11">
        <f>IF(D19="","",COUNTIFS('Loot History'!$A:$A,D19,'Loot History'!$G:$G,"Passen"))</f>
        <v>0</v>
      </c>
      <c r="K19" s="11">
        <f t="shared" si="0"/>
        <v>0</v>
      </c>
      <c r="L19" t="str">
        <f>IF(D19="","",IFERROR(INDEX('Loot History'!$I:$I,MATCH(D19,'Loot History'!$A:$A,0)),""))</f>
        <v>PRIEST</v>
      </c>
      <c r="W19" t="str">
        <v>Leerhäscher</v>
      </c>
      <c r="X19" s="11">
        <f>IF(W19="","",COUNTIF('Loot History'!$K:$K,W19))</f>
        <v>9</v>
      </c>
      <c r="Z19" s="4"/>
      <c r="AA19" s="11" t="str">
        <f>IF(Z19="","",COUNTIF('Loot History'!$B:$B,Z19))</f>
        <v/>
      </c>
      <c r="AB19" t="str">
        <f>IF(Z19="","",IFERROR(INDEX('Loot History'!$J:$J,MATCH(Z19,'Loot History'!$B:$B,0)),""))</f>
        <v/>
      </c>
    </row>
    <row r="20" spans="4:28" x14ac:dyDescent="0.25">
      <c r="D20" t="str">
        <v>Mokrash-Thunderstrike</v>
      </c>
      <c r="E20" s="11">
        <f>IF(D20="","",COUNTIF('Loot History'!$A:$A,D20))</f>
        <v>10</v>
      </c>
      <c r="F20" s="11">
        <f>IF(D20="","",COUNTIFS('Loot History'!$A:$A,D20,'Loot History'!$G:$G,"BiS"))</f>
        <v>7</v>
      </c>
      <c r="G20" s="11">
        <f>IF(D20="","",COUNTIFS('Loot History'!$A:$A,D20,'Loot History'!$G:$G,"2nd BiS"))</f>
        <v>0</v>
      </c>
      <c r="H20" s="11">
        <f>IF(D20="","",COUNTIFS('Loot History'!$A:$A,D20,'Loot History'!$G:$G,"Upgrade"))</f>
        <v>1</v>
      </c>
      <c r="I20" s="11">
        <f>IF(D20="","",COUNTIFS('Loot History'!$A:$A,D20,'Loot History'!$G:$G,"Offspecc"))</f>
        <v>1</v>
      </c>
      <c r="J20" s="11">
        <f>IF(D20="","",COUNTIFS('Loot History'!$A:$A,D20,'Loot History'!$G:$G,"Passen"))</f>
        <v>0</v>
      </c>
      <c r="K20" s="11">
        <f t="shared" si="0"/>
        <v>1</v>
      </c>
      <c r="L20" t="str">
        <f>IF(D20="","",IFERROR(INDEX('Loot History'!$I:$I,MATCH(D20,'Loot History'!$A:$A,0)),""))</f>
        <v>WARRIOR</v>
      </c>
      <c r="W20" t="str">
        <v>Leotheras der Blinde</v>
      </c>
      <c r="X20" s="11">
        <f>IF(W20="","",COUNTIF('Loot History'!$K:$K,W20))</f>
        <v>4</v>
      </c>
      <c r="Z20" s="4"/>
      <c r="AA20" s="11" t="str">
        <f>IF(Z20="","",COUNTIF('Loot History'!$B:$B,Z20))</f>
        <v/>
      </c>
      <c r="AB20" t="str">
        <f>IF(Z20="","",IFERROR(INDEX('Loot History'!$J:$J,MATCH(Z20,'Loot History'!$B:$B,0)),""))</f>
        <v/>
      </c>
    </row>
    <row r="21" spans="4:28" x14ac:dyDescent="0.25">
      <c r="D21" t="str">
        <v>Mommyfrieren-Thunderstrike</v>
      </c>
      <c r="E21" s="11">
        <f>IF(D21="","",COUNTIF('Loot History'!$A:$A,D21))</f>
        <v>5</v>
      </c>
      <c r="F21" s="11">
        <f>IF(D21="","",COUNTIFS('Loot History'!$A:$A,D21,'Loot History'!$G:$G,"BiS"))</f>
        <v>4</v>
      </c>
      <c r="G21" s="11">
        <f>IF(D21="","",COUNTIFS('Loot History'!$A:$A,D21,'Loot History'!$G:$G,"2nd BiS"))</f>
        <v>0</v>
      </c>
      <c r="H21" s="11">
        <f>IF(D21="","",COUNTIFS('Loot History'!$A:$A,D21,'Loot History'!$G:$G,"Upgrade"))</f>
        <v>0</v>
      </c>
      <c r="I21" s="11">
        <f>IF(D21="","",COUNTIFS('Loot History'!$A:$A,D21,'Loot History'!$G:$G,"Offspecc"))</f>
        <v>1</v>
      </c>
      <c r="J21" s="11">
        <f>IF(D21="","",COUNTIFS('Loot History'!$A:$A,D21,'Loot History'!$G:$G,"Passen"))</f>
        <v>0</v>
      </c>
      <c r="K21" s="11">
        <f t="shared" si="0"/>
        <v>0</v>
      </c>
      <c r="L21" t="str">
        <f>IF(D21="","",IFERROR(INDEX('Loot History'!$I:$I,MATCH(D21,'Loot History'!$A:$A,0)),""))</f>
        <v>WARLOCK</v>
      </c>
      <c r="W21" t="str">
        <v>Leotheras the Blind</v>
      </c>
      <c r="X21" s="11">
        <f>IF(W21="","",COUNTIF('Loot History'!$K:$K,W21))</f>
        <v>14</v>
      </c>
      <c r="Z21" s="4"/>
      <c r="AA21" s="11" t="str">
        <f>IF(Z21="","",COUNTIF('Loot History'!$B:$B,Z21))</f>
        <v/>
      </c>
      <c r="AB21" t="str">
        <f>IF(Z21="","",IFERROR(INDEX('Loot History'!$J:$J,MATCH(Z21,'Loot History'!$B:$B,0)),""))</f>
        <v/>
      </c>
    </row>
    <row r="22" spans="4:28" x14ac:dyDescent="0.25">
      <c r="D22" t="str">
        <v>Oßa-Thunderstrike</v>
      </c>
      <c r="E22" s="11">
        <f>IF(D22="","",COUNTIF('Loot History'!$A:$A,D22))</f>
        <v>9</v>
      </c>
      <c r="F22" s="11">
        <f>IF(D22="","",COUNTIFS('Loot History'!$A:$A,D22,'Loot History'!$G:$G,"BiS"))</f>
        <v>5</v>
      </c>
      <c r="G22" s="11">
        <f>IF(D22="","",COUNTIFS('Loot History'!$A:$A,D22,'Loot History'!$G:$G,"2nd BiS"))</f>
        <v>0</v>
      </c>
      <c r="H22" s="11">
        <f>IF(D22="","",COUNTIFS('Loot History'!$A:$A,D22,'Loot History'!$G:$G,"Upgrade"))</f>
        <v>2</v>
      </c>
      <c r="I22" s="11">
        <f>IF(D22="","",COUNTIFS('Loot History'!$A:$A,D22,'Loot History'!$G:$G,"Offspecc"))</f>
        <v>1</v>
      </c>
      <c r="J22" s="11">
        <f>IF(D22="","",COUNTIFS('Loot History'!$A:$A,D22,'Loot History'!$G:$G,"Passen"))</f>
        <v>0</v>
      </c>
      <c r="K22" s="11">
        <f t="shared" si="0"/>
        <v>1</v>
      </c>
      <c r="L22" t="str">
        <f>IF(D22="","",IFERROR(INDEX('Loot History'!$I:$I,MATCH(D22,'Loot History'!$A:$A,0)),""))</f>
        <v>SHAMAN</v>
      </c>
      <c r="W22" t="str">
        <v>Magtheridon</v>
      </c>
      <c r="Z22" s="4"/>
      <c r="AA22" s="11" t="str">
        <f>IF(Z22="","",COUNTIF('Loot History'!$B:$B,Z22))</f>
        <v/>
      </c>
      <c r="AB22" t="str">
        <f>IF(Z22="","",IFERROR(INDEX('Loot History'!$J:$J,MATCH(Z22,'Loot History'!$B:$B,0)),""))</f>
        <v/>
      </c>
    </row>
    <row r="23" spans="4:28" x14ac:dyDescent="0.25">
      <c r="D23" t="str">
        <v>Razoga-Thunderstrike</v>
      </c>
      <c r="E23" s="11">
        <f>IF(D23="","",COUNTIF('Loot History'!$A:$A,D23))</f>
        <v>1</v>
      </c>
      <c r="F23" s="11">
        <f>IF(D23="","",COUNTIFS('Loot History'!$A:$A,D23,'Loot History'!$G:$G,"BiS"))</f>
        <v>1</v>
      </c>
      <c r="G23" s="11">
        <f>IF(D23="","",COUNTIFS('Loot History'!$A:$A,D23,'Loot History'!$G:$G,"2nd BiS"))</f>
        <v>0</v>
      </c>
      <c r="H23" s="11">
        <f>IF(D23="","",COUNTIFS('Loot History'!$A:$A,D23,'Loot History'!$G:$G,"Upgrade"))</f>
        <v>0</v>
      </c>
      <c r="I23" s="11">
        <f>IF(D23="","",COUNTIFS('Loot History'!$A:$A,D23,'Loot History'!$G:$G,"Offspecc"))</f>
        <v>0</v>
      </c>
      <c r="J23" s="11">
        <f>IF(D23="","",COUNTIFS('Loot History'!$A:$A,D23,'Loot History'!$G:$G,"Passen"))</f>
        <v>0</v>
      </c>
      <c r="K23" s="11">
        <f t="shared" si="0"/>
        <v>0</v>
      </c>
      <c r="L23" t="str">
        <f>IF(D23="","",IFERROR(INDEX('Loot History'!$I:$I,MATCH(D23,'Loot History'!$A:$A,0)),""))</f>
        <v>SHAMAN</v>
      </c>
      <c r="W23" t="str">
        <v>Morogrim Gezeitenwandler</v>
      </c>
      <c r="Z23" s="4"/>
      <c r="AA23" s="11" t="str">
        <f>IF(Z23="","",COUNTIF('Loot History'!$B:$B,Z23))</f>
        <v/>
      </c>
      <c r="AB23" t="str">
        <f>IF(Z23="","",IFERROR(INDEX('Loot History'!$J:$J,MATCH(Z23,'Loot History'!$B:$B,0)),""))</f>
        <v/>
      </c>
    </row>
    <row r="24" spans="4:28" x14ac:dyDescent="0.25">
      <c r="D24" t="str">
        <v>Reazø-Thunderstrike</v>
      </c>
      <c r="E24" s="11">
        <f>IF(D24="","",COUNTIF('Loot History'!$A:$A,D24))</f>
        <v>5</v>
      </c>
      <c r="F24" s="11">
        <f>IF(D24="","",COUNTIFS('Loot History'!$A:$A,D24,'Loot History'!$G:$G,"BiS"))</f>
        <v>3</v>
      </c>
      <c r="G24" s="11">
        <f>IF(D24="","",COUNTIFS('Loot History'!$A:$A,D24,'Loot History'!$G:$G,"2nd BiS"))</f>
        <v>0</v>
      </c>
      <c r="H24" s="11">
        <f>IF(D24="","",COUNTIFS('Loot History'!$A:$A,D24,'Loot History'!$G:$G,"Upgrade"))</f>
        <v>0</v>
      </c>
      <c r="I24" s="11">
        <f>IF(D24="","",COUNTIFS('Loot History'!$A:$A,D24,'Loot History'!$G:$G,"Offspecc"))</f>
        <v>2</v>
      </c>
      <c r="J24" s="11">
        <f>IF(D24="","",COUNTIFS('Loot History'!$A:$A,D24,'Loot History'!$G:$G,"Passen"))</f>
        <v>0</v>
      </c>
      <c r="K24" s="11">
        <f t="shared" si="0"/>
        <v>0</v>
      </c>
      <c r="L24" t="str">
        <f>IF(D24="","",IFERROR(INDEX('Loot History'!$I:$I,MATCH(D24,'Loot History'!$A:$A,0)),""))</f>
        <v>DRUID</v>
      </c>
      <c r="W24" t="str">
        <v>Morogrim Tidewalker</v>
      </c>
      <c r="Z24" s="4"/>
      <c r="AA24" s="11" t="str">
        <f>IF(Z24="","",COUNTIF('Loot History'!$B:$B,Z24))</f>
        <v/>
      </c>
      <c r="AB24" t="str">
        <f>IF(Z24="","",IFERROR(INDEX('Loot History'!$J:$J,MATCH(Z24,'Loot History'!$B:$B,0)),""))</f>
        <v/>
      </c>
    </row>
    <row r="25" spans="4:28" x14ac:dyDescent="0.25">
      <c r="D25" t="str">
        <v>Reezø-Thunderstrike</v>
      </c>
      <c r="E25" s="11">
        <f>IF(D25="","",COUNTIF('Loot History'!$A:$A,D25))</f>
        <v>15</v>
      </c>
      <c r="F25" s="11">
        <f>IF(D25="","",COUNTIFS('Loot History'!$A:$A,D25,'Loot History'!$G:$G,"BiS"))</f>
        <v>6</v>
      </c>
      <c r="G25" s="11">
        <f>IF(D25="","",COUNTIFS('Loot History'!$A:$A,D25,'Loot History'!$G:$G,"2nd BiS"))</f>
        <v>4</v>
      </c>
      <c r="H25" s="11">
        <f>IF(D25="","",COUNTIFS('Loot History'!$A:$A,D25,'Loot History'!$G:$G,"Upgrade"))</f>
        <v>4</v>
      </c>
      <c r="I25" s="11">
        <f>IF(D25="","",COUNTIFS('Loot History'!$A:$A,D25,'Loot History'!$G:$G,"Offspecc"))</f>
        <v>1</v>
      </c>
      <c r="J25" s="11">
        <f>IF(D25="","",COUNTIFS('Loot History'!$A:$A,D25,'Loot History'!$G:$G,"Passen"))</f>
        <v>0</v>
      </c>
      <c r="K25" s="11">
        <f t="shared" si="0"/>
        <v>0</v>
      </c>
      <c r="L25" t="str">
        <f>IF(D25="","",IFERROR(INDEX('Loot History'!$I:$I,MATCH(D25,'Loot History'!$A:$A,0)),""))</f>
        <v>PALADIN</v>
      </c>
      <c r="W25" t="str">
        <v>SSC / TK Trash</v>
      </c>
      <c r="Z25" s="4"/>
      <c r="AA25" s="11" t="str">
        <f>IF(Z25="","",COUNTIF('Loot History'!$B:$B,Z25))</f>
        <v/>
      </c>
      <c r="AB25" t="str">
        <f>IF(Z25="","",IFERROR(INDEX('Loot History'!$J:$J,MATCH(Z25,'Loot History'!$B:$B,0)),""))</f>
        <v/>
      </c>
    </row>
    <row r="26" spans="4:28" x14ac:dyDescent="0.25">
      <c r="D26" t="str">
        <v>Ribsz-Thunderstrike</v>
      </c>
      <c r="E26" s="11">
        <f>IF(D26="","",COUNTIF('Loot History'!$A:$A,D26))</f>
        <v>6</v>
      </c>
      <c r="F26" s="11">
        <f>IF(D26="","",COUNTIFS('Loot History'!$A:$A,D26,'Loot History'!$G:$G,"BiS"))</f>
        <v>2</v>
      </c>
      <c r="G26" s="11">
        <f>IF(D26="","",COUNTIFS('Loot History'!$A:$A,D26,'Loot History'!$G:$G,"2nd BiS"))</f>
        <v>4</v>
      </c>
      <c r="H26" s="11">
        <f>IF(D26="","",COUNTIFS('Loot History'!$A:$A,D26,'Loot History'!$G:$G,"Upgrade"))</f>
        <v>0</v>
      </c>
      <c r="I26" s="11">
        <f>IF(D26="","",COUNTIFS('Loot History'!$A:$A,D26,'Loot History'!$G:$G,"Offspecc"))</f>
        <v>0</v>
      </c>
      <c r="J26" s="11">
        <f>IF(D26="","",COUNTIFS('Loot History'!$A:$A,D26,'Loot History'!$G:$G,"Passen"))</f>
        <v>0</v>
      </c>
      <c r="K26" s="11">
        <f t="shared" si="0"/>
        <v>0</v>
      </c>
      <c r="L26" t="str">
        <f>IF(D26="","",IFERROR(INDEX('Loot History'!$I:$I,MATCH(D26,'Loot History'!$A:$A,0)),""))</f>
        <v>MAGE</v>
      </c>
      <c r="W26" t="str">
        <v>SSC Trash</v>
      </c>
      <c r="Z26" s="4"/>
      <c r="AA26" s="11" t="str">
        <f>IF(Z26="","",COUNTIF('Loot History'!$B:$B,Z26))</f>
        <v/>
      </c>
      <c r="AB26" t="str">
        <f>IF(Z26="","",IFERROR(INDEX('Loot History'!$J:$J,MATCH(Z26,'Loot History'!$B:$B,0)),""))</f>
        <v/>
      </c>
    </row>
    <row r="27" spans="4:28" x14ac:dyDescent="0.25">
      <c r="D27" t="str">
        <v>Sanderon-Thunderstrike</v>
      </c>
      <c r="E27" s="11">
        <f>IF(D27="","",COUNTIF('Loot History'!$A:$A,D27))</f>
        <v>2</v>
      </c>
      <c r="F27" s="11">
        <f>IF(D27="","",COUNTIFS('Loot History'!$A:$A,D27,'Loot History'!$G:$G,"BiS"))</f>
        <v>2</v>
      </c>
      <c r="G27" s="11">
        <f>IF(D27="","",COUNTIFS('Loot History'!$A:$A,D27,'Loot History'!$G:$G,"2nd BiS"))</f>
        <v>0</v>
      </c>
      <c r="H27" s="11">
        <f>IF(D27="","",COUNTIFS('Loot History'!$A:$A,D27,'Loot History'!$G:$G,"Upgrade"))</f>
        <v>0</v>
      </c>
      <c r="I27" s="11">
        <f>IF(D27="","",COUNTIFS('Loot History'!$A:$A,D27,'Loot History'!$G:$G,"Offspecc"))</f>
        <v>0</v>
      </c>
      <c r="J27" s="11">
        <f>IF(D27="","",COUNTIFS('Loot History'!$A:$A,D27,'Loot History'!$G:$G,"Passen"))</f>
        <v>0</v>
      </c>
      <c r="K27" s="11">
        <f t="shared" si="0"/>
        <v>0</v>
      </c>
      <c r="L27" t="str">
        <f>IF(D27="","",IFERROR(INDEX('Loot History'!$I:$I,MATCH(D27,'Loot History'!$A:$A,0)),""))</f>
        <v>PRIEST</v>
      </c>
      <c r="W27" t="str">
        <v>The Lurker Below</v>
      </c>
      <c r="Z27" s="4"/>
      <c r="AA27" s="11" t="str">
        <f>IF(Z27="","",COUNTIF('Loot History'!$B:$B,Z27))</f>
        <v/>
      </c>
      <c r="AB27" t="str">
        <f>IF(Z27="","",IFERROR(INDEX('Loot History'!$J:$J,MATCH(Z27,'Loot History'!$B:$B,0)),""))</f>
        <v/>
      </c>
    </row>
    <row r="28" spans="4:28" x14ac:dyDescent="0.25">
      <c r="D28" t="str">
        <v>Shreklich-Thunderstrike</v>
      </c>
      <c r="E28" s="11">
        <f>IF(D28="","",COUNTIF('Loot History'!$A:$A,D28))</f>
        <v>4</v>
      </c>
      <c r="F28" s="11">
        <f>IF(D28="","",COUNTIFS('Loot History'!$A:$A,D28,'Loot History'!$G:$G,"BiS"))</f>
        <v>2</v>
      </c>
      <c r="G28" s="11">
        <f>IF(D28="","",COUNTIFS('Loot History'!$A:$A,D28,'Loot History'!$G:$G,"2nd BiS"))</f>
        <v>0</v>
      </c>
      <c r="H28" s="11">
        <f>IF(D28="","",COUNTIFS('Loot History'!$A:$A,D28,'Loot History'!$G:$G,"Upgrade"))</f>
        <v>1</v>
      </c>
      <c r="I28" s="11">
        <f>IF(D28="","",COUNTIFS('Loot History'!$A:$A,D28,'Loot History'!$G:$G,"Offspecc"))</f>
        <v>1</v>
      </c>
      <c r="J28" s="11">
        <f>IF(D28="","",COUNTIFS('Loot History'!$A:$A,D28,'Loot History'!$G:$G,"Passen"))</f>
        <v>0</v>
      </c>
      <c r="K28" s="11">
        <f t="shared" si="0"/>
        <v>0</v>
      </c>
      <c r="L28" t="str">
        <f>IF(D28="","",IFERROR(INDEX('Loot History'!$I:$I,MATCH(D28,'Loot History'!$A:$A,0)),""))</f>
        <v>WARRIOR</v>
      </c>
      <c r="W28" t="str">
        <v>Tiefenlord Karathress</v>
      </c>
      <c r="Z28" s="4"/>
      <c r="AA28" s="11" t="str">
        <f>IF(Z28="","",COUNTIF('Loot History'!$B:$B,Z28))</f>
        <v/>
      </c>
      <c r="AB28" t="str">
        <f>IF(Z28="","",IFERROR(INDEX('Loot History'!$J:$J,MATCH(Z28,'Loot History'!$B:$B,0)),""))</f>
        <v/>
      </c>
    </row>
    <row r="29" spans="4:28" x14ac:dyDescent="0.25">
      <c r="D29" t="str">
        <v>Spewspew-Thunderstrike</v>
      </c>
      <c r="E29" s="11">
        <f>IF(D29="","",COUNTIF('Loot History'!$A:$A,D29))</f>
        <v>6</v>
      </c>
      <c r="F29" s="11">
        <f>IF(D29="","",COUNTIFS('Loot History'!$A:$A,D29,'Loot History'!$G:$G,"BiS"))</f>
        <v>6</v>
      </c>
      <c r="G29" s="11">
        <f>IF(D29="","",COUNTIFS('Loot History'!$A:$A,D29,'Loot History'!$G:$G,"2nd BiS"))</f>
        <v>0</v>
      </c>
      <c r="H29" s="11">
        <f>IF(D29="","",COUNTIFS('Loot History'!$A:$A,D29,'Loot History'!$G:$G,"Upgrade"))</f>
        <v>0</v>
      </c>
      <c r="I29" s="11">
        <f>IF(D29="","",COUNTIFS('Loot History'!$A:$A,D29,'Loot History'!$G:$G,"Offspecc"))</f>
        <v>0</v>
      </c>
      <c r="J29" s="11">
        <f>IF(D29="","",COUNTIFS('Loot History'!$A:$A,D29,'Loot History'!$G:$G,"Passen"))</f>
        <v>0</v>
      </c>
      <c r="K29" s="11">
        <f t="shared" si="0"/>
        <v>0</v>
      </c>
      <c r="L29" t="str">
        <f>IF(D29="","",IFERROR(INDEX('Loot History'!$I:$I,MATCH(D29,'Loot History'!$A:$A,0)),""))</f>
        <v>MAGE</v>
      </c>
      <c r="W29" t="str">
        <v>TK Trash</v>
      </c>
      <c r="Z29" s="4"/>
      <c r="AA29" s="11" t="str">
        <f>IF(Z29="","",COUNTIF('Loot History'!$B:$B,Z29))</f>
        <v/>
      </c>
      <c r="AB29" t="str">
        <f>IF(Z29="","",IFERROR(INDEX('Loot History'!$J:$J,MATCH(Z29,'Loot History'!$B:$B,0)),""))</f>
        <v/>
      </c>
    </row>
    <row r="30" spans="4:28" x14ac:dyDescent="0.25">
      <c r="D30" t="str">
        <v>Supmyaeth-Thunderstrike</v>
      </c>
      <c r="E30" s="11">
        <f>IF(D30="","",COUNTIF('Loot History'!$A:$A,D30))</f>
        <v>9</v>
      </c>
      <c r="F30" s="11">
        <f>IF(D30="","",COUNTIFS('Loot History'!$A:$A,D30,'Loot History'!$G:$G,"BiS"))</f>
        <v>5</v>
      </c>
      <c r="G30" s="11">
        <f>IF(D30="","",COUNTIFS('Loot History'!$A:$A,D30,'Loot History'!$G:$G,"2nd BiS"))</f>
        <v>1</v>
      </c>
      <c r="H30" s="11">
        <f>IF(D30="","",COUNTIFS('Loot History'!$A:$A,D30,'Loot History'!$G:$G,"Upgrade"))</f>
        <v>2</v>
      </c>
      <c r="I30" s="11">
        <f>IF(D30="","",COUNTIFS('Loot History'!$A:$A,D30,'Loot History'!$G:$G,"Offspecc"))</f>
        <v>1</v>
      </c>
      <c r="J30" s="11">
        <f>IF(D30="","",COUNTIFS('Loot History'!$A:$A,D30,'Loot History'!$G:$G,"Passen"))</f>
        <v>0</v>
      </c>
      <c r="K30" s="11">
        <f t="shared" ref="K30:K32" si="1">IF(D30="","",IFERROR(E30-F30-G30-H30-I30-J30,0))</f>
        <v>0</v>
      </c>
      <c r="L30" t="str">
        <f>IF(D30="","",IFERROR(INDEX('Loot History'!$I:$I,MATCH(D30,'Loot History'!$A:$A,0)),""))</f>
        <v>SHAMAN</v>
      </c>
      <c r="W30" t="str">
        <v>Unbekannt</v>
      </c>
      <c r="Z30" s="4"/>
      <c r="AA30" s="11" t="str">
        <f>IF(Z30="","",COUNTIF('Loot History'!$B:$B,Z30))</f>
        <v/>
      </c>
      <c r="AB30" t="str">
        <f>IF(Z30="","",IFERROR(INDEX('Loot History'!$J:$J,MATCH(Z30,'Loot History'!$B:$B,0)),""))</f>
        <v/>
      </c>
    </row>
    <row r="31" spans="4:28" x14ac:dyDescent="0.25">
      <c r="D31" t="str">
        <v>Tastycake-Thunderstrike</v>
      </c>
      <c r="E31" s="11">
        <f>IF(D31="","",COUNTIF('Loot History'!$A:$A,D31))</f>
        <v>6</v>
      </c>
      <c r="F31" s="11">
        <f>IF(D31="","",COUNTIFS('Loot History'!$A:$A,D31,'Loot History'!$G:$G,"BiS"))</f>
        <v>3</v>
      </c>
      <c r="G31" s="11">
        <f>IF(D31="","",COUNTIFS('Loot History'!$A:$A,D31,'Loot History'!$G:$G,"2nd BiS"))</f>
        <v>1</v>
      </c>
      <c r="H31" s="11">
        <f>IF(D31="","",COUNTIFS('Loot History'!$A:$A,D31,'Loot History'!$G:$G,"Upgrade"))</f>
        <v>2</v>
      </c>
      <c r="I31" s="11">
        <f>IF(D31="","",COUNTIFS('Loot History'!$A:$A,D31,'Loot History'!$G:$G,"Offspecc"))</f>
        <v>0</v>
      </c>
      <c r="J31" s="11">
        <f>IF(D31="","",COUNTIFS('Loot History'!$A:$A,D31,'Loot History'!$G:$G,"Passen"))</f>
        <v>0</v>
      </c>
      <c r="K31" s="11">
        <f t="shared" si="1"/>
        <v>0</v>
      </c>
      <c r="L31" t="str">
        <f>IF(D31="","",IFERROR(INDEX('Loot History'!$I:$I,MATCH(D31,'Loot History'!$A:$A,0)),""))</f>
        <v>MAGE</v>
      </c>
      <c r="W31" t="str">
        <v>Void Reaver</v>
      </c>
      <c r="Z31" s="4"/>
      <c r="AA31" s="11" t="str">
        <f>IF(Z31="","",COUNTIF('Loot History'!$B:$B,Z31))</f>
        <v/>
      </c>
      <c r="AB31" t="str">
        <f>IF(Z31="","",IFERROR(INDEX('Loot History'!$J:$J,MATCH(Z31,'Loot History'!$B:$B,0)),""))</f>
        <v/>
      </c>
    </row>
    <row r="32" spans="4:28" x14ac:dyDescent="0.25">
      <c r="D32" t="str">
        <v>Tommypenn-Thunderstrike</v>
      </c>
      <c r="E32" s="11">
        <f>IF(D32="","",COUNTIF('Loot History'!$A:$A,D32))</f>
        <v>8</v>
      </c>
      <c r="F32" s="11">
        <f>IF(D32="","",COUNTIFS('Loot History'!$A:$A,D32,'Loot History'!$G:$G,"BiS"))</f>
        <v>4</v>
      </c>
      <c r="G32" s="11">
        <f>IF(D32="","",COUNTIFS('Loot History'!$A:$A,D32,'Loot History'!$G:$G,"2nd BiS"))</f>
        <v>0</v>
      </c>
      <c r="H32" s="11">
        <f>IF(D32="","",COUNTIFS('Loot History'!$A:$A,D32,'Loot History'!$G:$G,"Upgrade"))</f>
        <v>0</v>
      </c>
      <c r="I32" s="11">
        <f>IF(D32="","",COUNTIFS('Loot History'!$A:$A,D32,'Loot History'!$G:$G,"Offspecc"))</f>
        <v>4</v>
      </c>
      <c r="J32" s="11">
        <f>IF(D32="","",COUNTIFS('Loot History'!$A:$A,D32,'Loot History'!$G:$G,"Passen"))</f>
        <v>0</v>
      </c>
      <c r="K32" s="11">
        <f t="shared" si="1"/>
        <v>0</v>
      </c>
      <c r="L32" t="str">
        <f>IF(D32="","",IFERROR(INDEX('Loot History'!$I:$I,MATCH(D32,'Loot History'!$A:$A,0)),""))</f>
        <v>SHAMAN</v>
      </c>
      <c r="Z32" s="4"/>
      <c r="AA32" s="11" t="str">
        <f>IF(Z32="","",COUNTIF('Loot History'!$B:$B,Z32))</f>
        <v/>
      </c>
      <c r="AB32" t="str">
        <f>IF(Z32="","",IFERROR(INDEX('Loot History'!$J:$J,MATCH(Z32,'Loot History'!$B:$B,0)),""))</f>
        <v/>
      </c>
    </row>
    <row r="33" spans="4:28" x14ac:dyDescent="0.25">
      <c r="D33" t="str">
        <v>Tuarendrood-Thunderstrike</v>
      </c>
      <c r="Z33" s="4"/>
      <c r="AA33" s="11" t="str">
        <f>IF(Z33="","",COUNTIF('Loot History'!$B:$B,Z33))</f>
        <v/>
      </c>
      <c r="AB33" t="str">
        <f>IF(Z33="","",IFERROR(INDEX('Loot History'!$J:$J,MATCH(Z33,'Loot History'!$B:$B,0)),""))</f>
        <v/>
      </c>
    </row>
    <row r="34" spans="4:28" x14ac:dyDescent="0.25">
      <c r="D34" t="str">
        <v>Xænd-Thunderstrike</v>
      </c>
      <c r="Z34" s="4"/>
      <c r="AA34" s="11" t="str">
        <f>IF(Z34="","",COUNTIF('Loot History'!$B:$B,Z34))</f>
        <v/>
      </c>
      <c r="AB34" t="str">
        <f>IF(Z34="","",IFERROR(INDEX('Loot History'!$J:$J,MATCH(Z34,'Loot History'!$B:$B,0)),""))</f>
        <v/>
      </c>
    </row>
    <row r="35" spans="4:28" x14ac:dyDescent="0.25">
      <c r="D35" t="str">
        <v>Xaganat-Thunderstrike</v>
      </c>
      <c r="Z35" s="4"/>
      <c r="AA35" s="11" t="str">
        <f>IF(Z35="","",COUNTIF('Loot History'!$B:$B,Z35))</f>
        <v/>
      </c>
      <c r="AB35" t="str">
        <f>IF(Z35="","",IFERROR(INDEX('Loot History'!$J:$J,MATCH(Z35,'Loot History'!$B:$B,0)),""))</f>
        <v/>
      </c>
    </row>
    <row r="36" spans="4:28" x14ac:dyDescent="0.25">
      <c r="D36" t="str">
        <v>Zabipala-Thunderstrike</v>
      </c>
      <c r="Z36" s="4"/>
      <c r="AA36" s="11" t="str">
        <f>IF(Z36="","",COUNTIF('Loot History'!$B:$B,Z36))</f>
        <v/>
      </c>
      <c r="AB36" t="str">
        <f>IF(Z36="","",IFERROR(INDEX('Loot History'!$J:$J,MATCH(Z36,'Loot History'!$B:$B,0)),""))</f>
        <v/>
      </c>
    </row>
    <row r="37" spans="4:28" x14ac:dyDescent="0.25">
      <c r="D37" t="str">
        <v>Zerleger-Thunderstrike</v>
      </c>
      <c r="Z37" s="4"/>
      <c r="AA37" s="11" t="str">
        <f>IF(Z37="","",COUNTIF('Loot History'!$B:$B,Z37))</f>
        <v/>
      </c>
      <c r="AB37" t="str">
        <f>IF(Z37="","",IFERROR(INDEX('Loot History'!$J:$J,MATCH(Z37,'Loot History'!$B:$B,0)),""))</f>
        <v/>
      </c>
    </row>
    <row r="38" spans="4:28" x14ac:dyDescent="0.25">
      <c r="D38" t="str">
        <v>Zzou-Thunderstrike</v>
      </c>
      <c r="Z38" s="4"/>
      <c r="AA38" s="11" t="str">
        <f>IF(Z38="","",COUNTIF('Loot History'!$B:$B,Z38))</f>
        <v/>
      </c>
      <c r="AB38" t="str">
        <f>IF(Z38="","",IFERROR(INDEX('Loot History'!$J:$J,MATCH(Z38,'Loot History'!$B:$B,0)),""))</f>
        <v/>
      </c>
    </row>
    <row r="39" spans="4:28" x14ac:dyDescent="0.25">
      <c r="Z39" s="4"/>
      <c r="AA39" s="11" t="str">
        <f>IF(Z39="","",COUNTIF('Loot History'!$B:$B,Z39))</f>
        <v/>
      </c>
      <c r="AB39" t="str">
        <f>IF(Z39="","",IFERROR(INDEX('Loot History'!$J:$J,MATCH(Z39,'Loot History'!$B:$B,0)),""))</f>
        <v/>
      </c>
    </row>
    <row r="40" spans="4:28" x14ac:dyDescent="0.25">
      <c r="Z40" s="4"/>
      <c r="AA40" s="11" t="str">
        <f>IF(Z40="","",COUNTIF('Loot History'!$B:$B,Z40))</f>
        <v/>
      </c>
      <c r="AB40" t="str">
        <f>IF(Z40="","",IFERROR(INDEX('Loot History'!$J:$J,MATCH(Z40,'Loot History'!$B:$B,0)),""))</f>
        <v/>
      </c>
    </row>
    <row r="41" spans="4:28" x14ac:dyDescent="0.25">
      <c r="Z41" s="4"/>
      <c r="AA41" s="11" t="str">
        <f>IF(Z41="","",COUNTIF('Loot History'!$B:$B,Z41))</f>
        <v/>
      </c>
      <c r="AB41" t="str">
        <f>IF(Z41="","",IFERROR(INDEX('Loot History'!$J:$J,MATCH(Z41,'Loot History'!$B:$B,0)),""))</f>
        <v/>
      </c>
    </row>
    <row r="42" spans="4:28" x14ac:dyDescent="0.25">
      <c r="Z42" s="4"/>
      <c r="AA42" s="11" t="str">
        <f>IF(Z42="","",COUNTIF('Loot History'!$B:$B,Z42))</f>
        <v/>
      </c>
      <c r="AB42" t="str">
        <f>IF(Z42="","",IFERROR(INDEX('Loot History'!$J:$J,MATCH(Z42,'Loot History'!$B:$B,0)),""))</f>
        <v/>
      </c>
    </row>
    <row r="43" spans="4:28" x14ac:dyDescent="0.25">
      <c r="Z43" s="4"/>
      <c r="AA43" s="11" t="str">
        <f>IF(Z43="","",COUNTIF('Loot History'!$B:$B,Z43))</f>
        <v/>
      </c>
      <c r="AB43" t="str">
        <f>IF(Z43="","",IFERROR(INDEX('Loot History'!$J:$J,MATCH(Z43,'Loot History'!$B:$B,0)),""))</f>
        <v/>
      </c>
    </row>
    <row r="44" spans="4:28" x14ac:dyDescent="0.25">
      <c r="Z44" s="4"/>
      <c r="AA44" s="11" t="str">
        <f>IF(Z44="","",COUNTIF('Loot History'!$B:$B,Z44))</f>
        <v/>
      </c>
      <c r="AB44" t="str">
        <f>IF(Z44="","",IFERROR(INDEX('Loot History'!$J:$J,MATCH(Z44,'Loot History'!$B:$B,0)),""))</f>
        <v/>
      </c>
    </row>
    <row r="45" spans="4:28" x14ac:dyDescent="0.25">
      <c r="E45" s="11" t="str">
        <f>IF(D45="","",COUNTIF('Loot History'!$A:$A,D45))</f>
        <v/>
      </c>
      <c r="F45" s="11" t="str">
        <f>IF(D45="","",COUNTIFS('Loot History'!$A:$A,D45,'Loot History'!$G:$G,"BiS"))</f>
        <v/>
      </c>
      <c r="G45" s="11" t="str">
        <f>IF(D45="","",COUNTIFS('Loot History'!$A:$A,D45,'Loot History'!$G:$G,"2nd BiS"))</f>
        <v/>
      </c>
      <c r="H45" s="11" t="str">
        <f>IF(D45="","",COUNTIFS('Loot History'!$A:$A,D45,'Loot History'!$G:$G,"Upgrade"))</f>
        <v/>
      </c>
      <c r="I45" s="11" t="str">
        <f>IF(D45="","",COUNTIFS('Loot History'!$A:$A,D45,'Loot History'!$G:$G,"Offspecc"))</f>
        <v/>
      </c>
      <c r="J45" s="11" t="str">
        <f>IF(D45="","",COUNTIFS('Loot History'!$A:$A,D45,'Loot History'!$G:$G,"Passen"))</f>
        <v/>
      </c>
      <c r="K45" s="11" t="str">
        <f t="shared" ref="K45:K76" si="2">IF(D45="","",IFERROR(E45-F45-G45-H45-I45-J45,0))</f>
        <v/>
      </c>
      <c r="L45" t="str">
        <f>IF(D45="","",IFERROR(INDEX('Loot History'!$I:$I,MATCH(D45,'Loot History'!$A:$A,0)),""))</f>
        <v/>
      </c>
      <c r="Z45" s="4"/>
      <c r="AA45" s="11" t="str">
        <f>IF(Z45="","",COUNTIF('Loot History'!$B:$B,Z45))</f>
        <v/>
      </c>
      <c r="AB45" t="str">
        <f>IF(Z45="","",IFERROR(INDEX('Loot History'!$J:$J,MATCH(Z45,'Loot History'!$B:$B,0)),""))</f>
        <v/>
      </c>
    </row>
    <row r="46" spans="4:28" x14ac:dyDescent="0.25">
      <c r="E46" s="11" t="str">
        <f>IF(D46="","",COUNTIF('Loot History'!$A:$A,D46))</f>
        <v/>
      </c>
      <c r="F46" s="11" t="str">
        <f>IF(D46="","",COUNTIFS('Loot History'!$A:$A,D46,'Loot History'!$G:$G,"BiS"))</f>
        <v/>
      </c>
      <c r="G46" s="11" t="str">
        <f>IF(D46="","",COUNTIFS('Loot History'!$A:$A,D46,'Loot History'!$G:$G,"2nd BiS"))</f>
        <v/>
      </c>
      <c r="H46" s="11" t="str">
        <f>IF(D46="","",COUNTIFS('Loot History'!$A:$A,D46,'Loot History'!$G:$G,"Upgrade"))</f>
        <v/>
      </c>
      <c r="I46" s="11" t="str">
        <f>IF(D46="","",COUNTIFS('Loot History'!$A:$A,D46,'Loot History'!$G:$G,"Offspecc"))</f>
        <v/>
      </c>
      <c r="J46" s="11" t="str">
        <f>IF(D46="","",COUNTIFS('Loot History'!$A:$A,D46,'Loot History'!$G:$G,"Passen"))</f>
        <v/>
      </c>
      <c r="K46" s="11" t="str">
        <f t="shared" si="2"/>
        <v/>
      </c>
      <c r="L46" t="str">
        <f>IF(D46="","",IFERROR(INDEX('Loot History'!$I:$I,MATCH(D46,'Loot History'!$A:$A,0)),""))</f>
        <v/>
      </c>
      <c r="Z46" s="4"/>
      <c r="AA46" s="11" t="str">
        <f>IF(Z46="","",COUNTIF('Loot History'!$B:$B,Z46))</f>
        <v/>
      </c>
      <c r="AB46" t="str">
        <f>IF(Z46="","",IFERROR(INDEX('Loot History'!$J:$J,MATCH(Z46,'Loot History'!$B:$B,0)),""))</f>
        <v/>
      </c>
    </row>
    <row r="47" spans="4:28" x14ac:dyDescent="0.25">
      <c r="E47" s="11" t="str">
        <f>IF(D47="","",COUNTIF('Loot History'!$A:$A,D47))</f>
        <v/>
      </c>
      <c r="F47" s="11" t="str">
        <f>IF(D47="","",COUNTIFS('Loot History'!$A:$A,D47,'Loot History'!$G:$G,"BiS"))</f>
        <v/>
      </c>
      <c r="G47" s="11" t="str">
        <f>IF(D47="","",COUNTIFS('Loot History'!$A:$A,D47,'Loot History'!$G:$G,"2nd BiS"))</f>
        <v/>
      </c>
      <c r="H47" s="11" t="str">
        <f>IF(D47="","",COUNTIFS('Loot History'!$A:$A,D47,'Loot History'!$G:$G,"Upgrade"))</f>
        <v/>
      </c>
      <c r="I47" s="11" t="str">
        <f>IF(D47="","",COUNTIFS('Loot History'!$A:$A,D47,'Loot History'!$G:$G,"Offspecc"))</f>
        <v/>
      </c>
      <c r="J47" s="11" t="str">
        <f>IF(D47="","",COUNTIFS('Loot History'!$A:$A,D47,'Loot History'!$G:$G,"Passen"))</f>
        <v/>
      </c>
      <c r="K47" s="11" t="str">
        <f t="shared" si="2"/>
        <v/>
      </c>
      <c r="L47" t="str">
        <f>IF(D47="","",IFERROR(INDEX('Loot History'!$I:$I,MATCH(D47,'Loot History'!$A:$A,0)),""))</f>
        <v/>
      </c>
      <c r="Z47" s="4"/>
      <c r="AA47" s="11" t="str">
        <f>IF(Z47="","",COUNTIF('Loot History'!$B:$B,Z47))</f>
        <v/>
      </c>
      <c r="AB47" t="str">
        <f>IF(Z47="","",IFERROR(INDEX('Loot History'!$J:$J,MATCH(Z47,'Loot History'!$B:$B,0)),""))</f>
        <v/>
      </c>
    </row>
    <row r="48" spans="4:28" x14ac:dyDescent="0.25">
      <c r="E48" s="11" t="str">
        <f>IF(D48="","",COUNTIF('Loot History'!$A:$A,D48))</f>
        <v/>
      </c>
      <c r="F48" s="11" t="str">
        <f>IF(D48="","",COUNTIFS('Loot History'!$A:$A,D48,'Loot History'!$G:$G,"BiS"))</f>
        <v/>
      </c>
      <c r="G48" s="11" t="str">
        <f>IF(D48="","",COUNTIFS('Loot History'!$A:$A,D48,'Loot History'!$G:$G,"2nd BiS"))</f>
        <v/>
      </c>
      <c r="H48" s="11" t="str">
        <f>IF(D48="","",COUNTIFS('Loot History'!$A:$A,D48,'Loot History'!$G:$G,"Upgrade"))</f>
        <v/>
      </c>
      <c r="I48" s="11" t="str">
        <f>IF(D48="","",COUNTIFS('Loot History'!$A:$A,D48,'Loot History'!$G:$G,"Offspecc"))</f>
        <v/>
      </c>
      <c r="J48" s="11" t="str">
        <f>IF(D48="","",COUNTIFS('Loot History'!$A:$A,D48,'Loot History'!$G:$G,"Passen"))</f>
        <v/>
      </c>
      <c r="K48" s="11" t="str">
        <f t="shared" si="2"/>
        <v/>
      </c>
      <c r="L48" t="str">
        <f>IF(D48="","",IFERROR(INDEX('Loot History'!$I:$I,MATCH(D48,'Loot History'!$A:$A,0)),""))</f>
        <v/>
      </c>
      <c r="Z48" s="4"/>
      <c r="AA48" s="11" t="str">
        <f>IF(Z48="","",COUNTIF('Loot History'!$B:$B,Z48))</f>
        <v/>
      </c>
      <c r="AB48" t="str">
        <f>IF(Z48="","",IFERROR(INDEX('Loot History'!$J:$J,MATCH(Z48,'Loot History'!$B:$B,0)),""))</f>
        <v/>
      </c>
    </row>
    <row r="49" spans="5:28" x14ac:dyDescent="0.25">
      <c r="E49" s="11" t="str">
        <f>IF(D49="","",COUNTIF('Loot History'!$A:$A,D49))</f>
        <v/>
      </c>
      <c r="F49" s="11" t="str">
        <f>IF(D49="","",COUNTIFS('Loot History'!$A:$A,D49,'Loot History'!$G:$G,"BiS"))</f>
        <v/>
      </c>
      <c r="G49" s="11" t="str">
        <f>IF(D49="","",COUNTIFS('Loot History'!$A:$A,D49,'Loot History'!$G:$G,"2nd BiS"))</f>
        <v/>
      </c>
      <c r="H49" s="11" t="str">
        <f>IF(D49="","",COUNTIFS('Loot History'!$A:$A,D49,'Loot History'!$G:$G,"Upgrade"))</f>
        <v/>
      </c>
      <c r="I49" s="11" t="str">
        <f>IF(D49="","",COUNTIFS('Loot History'!$A:$A,D49,'Loot History'!$G:$G,"Offspecc"))</f>
        <v/>
      </c>
      <c r="J49" s="11" t="str">
        <f>IF(D49="","",COUNTIFS('Loot History'!$A:$A,D49,'Loot History'!$G:$G,"Passen"))</f>
        <v/>
      </c>
      <c r="K49" s="11" t="str">
        <f t="shared" si="2"/>
        <v/>
      </c>
      <c r="L49" t="str">
        <f>IF(D49="","",IFERROR(INDEX('Loot History'!$I:$I,MATCH(D49,'Loot History'!$A:$A,0)),""))</f>
        <v/>
      </c>
      <c r="Z49" s="4"/>
      <c r="AA49" s="11" t="str">
        <f>IF(Z49="","",COUNTIF('Loot History'!$B:$B,Z49))</f>
        <v/>
      </c>
      <c r="AB49" t="str">
        <f>IF(Z49="","",IFERROR(INDEX('Loot History'!$J:$J,MATCH(Z49,'Loot History'!$B:$B,0)),""))</f>
        <v/>
      </c>
    </row>
    <row r="50" spans="5:28" x14ac:dyDescent="0.25">
      <c r="E50" s="11" t="str">
        <f>IF(D50="","",COUNTIF('Loot History'!$A:$A,D50))</f>
        <v/>
      </c>
      <c r="F50" s="11" t="str">
        <f>IF(D50="","",COUNTIFS('Loot History'!$A:$A,D50,'Loot History'!$G:$G,"BiS"))</f>
        <v/>
      </c>
      <c r="G50" s="11" t="str">
        <f>IF(D50="","",COUNTIFS('Loot History'!$A:$A,D50,'Loot History'!$G:$G,"2nd BiS"))</f>
        <v/>
      </c>
      <c r="H50" s="11" t="str">
        <f>IF(D50="","",COUNTIFS('Loot History'!$A:$A,D50,'Loot History'!$G:$G,"Upgrade"))</f>
        <v/>
      </c>
      <c r="I50" s="11" t="str">
        <f>IF(D50="","",COUNTIFS('Loot History'!$A:$A,D50,'Loot History'!$G:$G,"Offspecc"))</f>
        <v/>
      </c>
      <c r="J50" s="11" t="str">
        <f>IF(D50="","",COUNTIFS('Loot History'!$A:$A,D50,'Loot History'!$G:$G,"Passen"))</f>
        <v/>
      </c>
      <c r="K50" s="11" t="str">
        <f t="shared" si="2"/>
        <v/>
      </c>
      <c r="L50" t="str">
        <f>IF(D50="","",IFERROR(INDEX('Loot History'!$I:$I,MATCH(D50,'Loot History'!$A:$A,0)),""))</f>
        <v/>
      </c>
      <c r="Z50" s="4"/>
      <c r="AA50" s="11" t="str">
        <f>IF(Z50="","",COUNTIF('Loot History'!$B:$B,Z50))</f>
        <v/>
      </c>
      <c r="AB50" t="str">
        <f>IF(Z50="","",IFERROR(INDEX('Loot History'!$J:$J,MATCH(Z50,'Loot History'!$B:$B,0)),""))</f>
        <v/>
      </c>
    </row>
    <row r="51" spans="5:28" x14ac:dyDescent="0.25">
      <c r="E51" s="11" t="str">
        <f>IF(D51="","",COUNTIF('Loot History'!$A:$A,D51))</f>
        <v/>
      </c>
      <c r="F51" s="11" t="str">
        <f>IF(D51="","",COUNTIFS('Loot History'!$A:$A,D51,'Loot History'!$G:$G,"BiS"))</f>
        <v/>
      </c>
      <c r="G51" s="11" t="str">
        <f>IF(D51="","",COUNTIFS('Loot History'!$A:$A,D51,'Loot History'!$G:$G,"2nd BiS"))</f>
        <v/>
      </c>
      <c r="H51" s="11" t="str">
        <f>IF(D51="","",COUNTIFS('Loot History'!$A:$A,D51,'Loot History'!$G:$G,"Upgrade"))</f>
        <v/>
      </c>
      <c r="I51" s="11" t="str">
        <f>IF(D51="","",COUNTIFS('Loot History'!$A:$A,D51,'Loot History'!$G:$G,"Offspecc"))</f>
        <v/>
      </c>
      <c r="J51" s="11" t="str">
        <f>IF(D51="","",COUNTIFS('Loot History'!$A:$A,D51,'Loot History'!$G:$G,"Passen"))</f>
        <v/>
      </c>
      <c r="K51" s="11" t="str">
        <f t="shared" si="2"/>
        <v/>
      </c>
      <c r="L51" t="str">
        <f>IF(D51="","",IFERROR(INDEX('Loot History'!$I:$I,MATCH(D51,'Loot History'!$A:$A,0)),""))</f>
        <v/>
      </c>
      <c r="Z51" s="4"/>
      <c r="AA51" s="11" t="str">
        <f>IF(Z51="","",COUNTIF('Loot History'!$B:$B,Z51))</f>
        <v/>
      </c>
      <c r="AB51" t="str">
        <f>IF(Z51="","",IFERROR(INDEX('Loot History'!$J:$J,MATCH(Z51,'Loot History'!$B:$B,0)),""))</f>
        <v/>
      </c>
    </row>
    <row r="52" spans="5:28" x14ac:dyDescent="0.25">
      <c r="E52" s="11" t="str">
        <f>IF(D52="","",COUNTIF('Loot History'!$A:$A,D52))</f>
        <v/>
      </c>
      <c r="F52" s="11" t="str">
        <f>IF(D52="","",COUNTIFS('Loot History'!$A:$A,D52,'Loot History'!$G:$G,"BiS"))</f>
        <v/>
      </c>
      <c r="G52" s="11" t="str">
        <f>IF(D52="","",COUNTIFS('Loot History'!$A:$A,D52,'Loot History'!$G:$G,"2nd BiS"))</f>
        <v/>
      </c>
      <c r="H52" s="11" t="str">
        <f>IF(D52="","",COUNTIFS('Loot History'!$A:$A,D52,'Loot History'!$G:$G,"Upgrade"))</f>
        <v/>
      </c>
      <c r="I52" s="11" t="str">
        <f>IF(D52="","",COUNTIFS('Loot History'!$A:$A,D52,'Loot History'!$G:$G,"Offspecc"))</f>
        <v/>
      </c>
      <c r="J52" s="11" t="str">
        <f>IF(D52="","",COUNTIFS('Loot History'!$A:$A,D52,'Loot History'!$G:$G,"Passen"))</f>
        <v/>
      </c>
      <c r="K52" s="11" t="str">
        <f t="shared" si="2"/>
        <v/>
      </c>
      <c r="L52" t="str">
        <f>IF(D52="","",IFERROR(INDEX('Loot History'!$I:$I,MATCH(D52,'Loot History'!$A:$A,0)),""))</f>
        <v/>
      </c>
      <c r="Z52" s="4"/>
      <c r="AA52" s="11" t="str">
        <f>IF(Z52="","",COUNTIF('Loot History'!$B:$B,Z52))</f>
        <v/>
      </c>
      <c r="AB52" t="str">
        <f>IF(Z52="","",IFERROR(INDEX('Loot History'!$J:$J,MATCH(Z52,'Loot History'!$B:$B,0)),""))</f>
        <v/>
      </c>
    </row>
    <row r="53" spans="5:28" x14ac:dyDescent="0.25">
      <c r="E53" s="11" t="str">
        <f>IF(D53="","",COUNTIF('Loot History'!$A:$A,D53))</f>
        <v/>
      </c>
      <c r="F53" s="11" t="str">
        <f>IF(D53="","",COUNTIFS('Loot History'!$A:$A,D53,'Loot History'!$G:$G,"BiS"))</f>
        <v/>
      </c>
      <c r="G53" s="11" t="str">
        <f>IF(D53="","",COUNTIFS('Loot History'!$A:$A,D53,'Loot History'!$G:$G,"2nd BiS"))</f>
        <v/>
      </c>
      <c r="H53" s="11" t="str">
        <f>IF(D53="","",COUNTIFS('Loot History'!$A:$A,D53,'Loot History'!$G:$G,"Upgrade"))</f>
        <v/>
      </c>
      <c r="I53" s="11" t="str">
        <f>IF(D53="","",COUNTIFS('Loot History'!$A:$A,D53,'Loot History'!$G:$G,"Offspecc"))</f>
        <v/>
      </c>
      <c r="J53" s="11" t="str">
        <f>IF(D53="","",COUNTIFS('Loot History'!$A:$A,D53,'Loot History'!$G:$G,"Passen"))</f>
        <v/>
      </c>
      <c r="K53" s="11" t="str">
        <f t="shared" si="2"/>
        <v/>
      </c>
      <c r="L53" t="str">
        <f>IF(D53="","",IFERROR(INDEX('Loot History'!$I:$I,MATCH(D53,'Loot History'!$A:$A,0)),""))</f>
        <v/>
      </c>
      <c r="Z53" s="4"/>
      <c r="AA53" s="11" t="str">
        <f>IF(Z53="","",COUNTIF('Loot History'!$B:$B,Z53))</f>
        <v/>
      </c>
      <c r="AB53" t="str">
        <f>IF(Z53="","",IFERROR(INDEX('Loot History'!$J:$J,MATCH(Z53,'Loot History'!$B:$B,0)),""))</f>
        <v/>
      </c>
    </row>
    <row r="54" spans="5:28" x14ac:dyDescent="0.25">
      <c r="E54" s="11" t="str">
        <f>IF(D54="","",COUNTIF('Loot History'!$A:$A,D54))</f>
        <v/>
      </c>
      <c r="F54" s="11" t="str">
        <f>IF(D54="","",COUNTIFS('Loot History'!$A:$A,D54,'Loot History'!$G:$G,"BiS"))</f>
        <v/>
      </c>
      <c r="G54" s="11" t="str">
        <f>IF(D54="","",COUNTIFS('Loot History'!$A:$A,D54,'Loot History'!$G:$G,"2nd BiS"))</f>
        <v/>
      </c>
      <c r="H54" s="11" t="str">
        <f>IF(D54="","",COUNTIFS('Loot History'!$A:$A,D54,'Loot History'!$G:$G,"Upgrade"))</f>
        <v/>
      </c>
      <c r="I54" s="11" t="str">
        <f>IF(D54="","",COUNTIFS('Loot History'!$A:$A,D54,'Loot History'!$G:$G,"Offspecc"))</f>
        <v/>
      </c>
      <c r="J54" s="11" t="str">
        <f>IF(D54="","",COUNTIFS('Loot History'!$A:$A,D54,'Loot History'!$G:$G,"Passen"))</f>
        <v/>
      </c>
      <c r="K54" s="11" t="str">
        <f t="shared" si="2"/>
        <v/>
      </c>
      <c r="L54" t="str">
        <f>IF(D54="","",IFERROR(INDEX('Loot History'!$I:$I,MATCH(D54,'Loot History'!$A:$A,0)),""))</f>
        <v/>
      </c>
    </row>
    <row r="55" spans="5:28" x14ac:dyDescent="0.25">
      <c r="E55" s="11" t="str">
        <f>IF(D55="","",COUNTIF('Loot History'!$A:$A,D55))</f>
        <v/>
      </c>
      <c r="F55" s="11" t="str">
        <f>IF(D55="","",COUNTIFS('Loot History'!$A:$A,D55,'Loot History'!$G:$G,"BiS"))</f>
        <v/>
      </c>
      <c r="G55" s="11" t="str">
        <f>IF(D55="","",COUNTIFS('Loot History'!$A:$A,D55,'Loot History'!$G:$G,"2nd BiS"))</f>
        <v/>
      </c>
      <c r="H55" s="11" t="str">
        <f>IF(D55="","",COUNTIFS('Loot History'!$A:$A,D55,'Loot History'!$G:$G,"Upgrade"))</f>
        <v/>
      </c>
      <c r="I55" s="11" t="str">
        <f>IF(D55="","",COUNTIFS('Loot History'!$A:$A,D55,'Loot History'!$G:$G,"Offspecc"))</f>
        <v/>
      </c>
      <c r="J55" s="11" t="str">
        <f>IF(D55="","",COUNTIFS('Loot History'!$A:$A,D55,'Loot History'!$G:$G,"Passen"))</f>
        <v/>
      </c>
      <c r="K55" s="11" t="str">
        <f t="shared" si="2"/>
        <v/>
      </c>
      <c r="L55" t="str">
        <f>IF(D55="","",IFERROR(INDEX('Loot History'!$I:$I,MATCH(D55,'Loot History'!$A:$A,0)),""))</f>
        <v/>
      </c>
    </row>
    <row r="56" spans="5:28" x14ac:dyDescent="0.25">
      <c r="E56" s="11" t="str">
        <f>IF(D56="","",COUNTIF('Loot History'!$A:$A,D56))</f>
        <v/>
      </c>
      <c r="F56" s="11" t="str">
        <f>IF(D56="","",COUNTIFS('Loot History'!$A:$A,D56,'Loot History'!$G:$G,"BiS"))</f>
        <v/>
      </c>
      <c r="G56" s="11" t="str">
        <f>IF(D56="","",COUNTIFS('Loot History'!$A:$A,D56,'Loot History'!$G:$G,"2nd BiS"))</f>
        <v/>
      </c>
      <c r="H56" s="11" t="str">
        <f>IF(D56="","",COUNTIFS('Loot History'!$A:$A,D56,'Loot History'!$G:$G,"Upgrade"))</f>
        <v/>
      </c>
      <c r="I56" s="11" t="str">
        <f>IF(D56="","",COUNTIFS('Loot History'!$A:$A,D56,'Loot History'!$G:$G,"Offspecc"))</f>
        <v/>
      </c>
      <c r="J56" s="11" t="str">
        <f>IF(D56="","",COUNTIFS('Loot History'!$A:$A,D56,'Loot History'!$G:$G,"Passen"))</f>
        <v/>
      </c>
      <c r="K56" s="11" t="str">
        <f t="shared" si="2"/>
        <v/>
      </c>
      <c r="L56" t="str">
        <f>IF(D56="","",IFERROR(INDEX('Loot History'!$I:$I,MATCH(D56,'Loot History'!$A:$A,0)),""))</f>
        <v/>
      </c>
    </row>
    <row r="57" spans="5:28" x14ac:dyDescent="0.25">
      <c r="E57" s="11" t="str">
        <f>IF(D57="","",COUNTIF('Loot History'!$A:$A,D57))</f>
        <v/>
      </c>
      <c r="F57" s="11" t="str">
        <f>IF(D57="","",COUNTIFS('Loot History'!$A:$A,D57,'Loot History'!$G:$G,"BiS"))</f>
        <v/>
      </c>
      <c r="G57" s="11" t="str">
        <f>IF(D57="","",COUNTIFS('Loot History'!$A:$A,D57,'Loot History'!$G:$G,"2nd BiS"))</f>
        <v/>
      </c>
      <c r="H57" s="11" t="str">
        <f>IF(D57="","",COUNTIFS('Loot History'!$A:$A,D57,'Loot History'!$G:$G,"Upgrade"))</f>
        <v/>
      </c>
      <c r="I57" s="11" t="str">
        <f>IF(D57="","",COUNTIFS('Loot History'!$A:$A,D57,'Loot History'!$G:$G,"Offspecc"))</f>
        <v/>
      </c>
      <c r="J57" s="11" t="str">
        <f>IF(D57="","",COUNTIFS('Loot History'!$A:$A,D57,'Loot History'!$G:$G,"Passen"))</f>
        <v/>
      </c>
      <c r="K57" s="11" t="str">
        <f t="shared" si="2"/>
        <v/>
      </c>
      <c r="L57" t="str">
        <f>IF(D57="","",IFERROR(INDEX('Loot History'!$I:$I,MATCH(D57,'Loot History'!$A:$A,0)),""))</f>
        <v/>
      </c>
    </row>
    <row r="58" spans="5:28" x14ac:dyDescent="0.25">
      <c r="E58" s="11" t="str">
        <f>IF(D58="","",COUNTIF('Loot History'!$A:$A,D58))</f>
        <v/>
      </c>
      <c r="F58" s="11" t="str">
        <f>IF(D58="","",COUNTIFS('Loot History'!$A:$A,D58,'Loot History'!$G:$G,"BiS"))</f>
        <v/>
      </c>
      <c r="G58" s="11" t="str">
        <f>IF(D58="","",COUNTIFS('Loot History'!$A:$A,D58,'Loot History'!$G:$G,"2nd BiS"))</f>
        <v/>
      </c>
      <c r="H58" s="11" t="str">
        <f>IF(D58="","",COUNTIFS('Loot History'!$A:$A,D58,'Loot History'!$G:$G,"Upgrade"))</f>
        <v/>
      </c>
      <c r="I58" s="11" t="str">
        <f>IF(D58="","",COUNTIFS('Loot History'!$A:$A,D58,'Loot History'!$G:$G,"Offspecc"))</f>
        <v/>
      </c>
      <c r="J58" s="11" t="str">
        <f>IF(D58="","",COUNTIFS('Loot History'!$A:$A,D58,'Loot History'!$G:$G,"Passen"))</f>
        <v/>
      </c>
      <c r="K58" s="11" t="str">
        <f t="shared" si="2"/>
        <v/>
      </c>
      <c r="L58" t="str">
        <f>IF(D58="","",IFERROR(INDEX('Loot History'!$I:$I,MATCH(D58,'Loot History'!$A:$A,0)),""))</f>
        <v/>
      </c>
    </row>
    <row r="59" spans="5:28" x14ac:dyDescent="0.25">
      <c r="E59" s="11" t="str">
        <f>IF(D59="","",COUNTIF('Loot History'!$A:$A,D59))</f>
        <v/>
      </c>
      <c r="F59" s="11" t="str">
        <f>IF(D59="","",COUNTIFS('Loot History'!$A:$A,D59,'Loot History'!$G:$G,"BiS"))</f>
        <v/>
      </c>
      <c r="G59" s="11" t="str">
        <f>IF(D59="","",COUNTIFS('Loot History'!$A:$A,D59,'Loot History'!$G:$G,"2nd BiS"))</f>
        <v/>
      </c>
      <c r="H59" s="11" t="str">
        <f>IF(D59="","",COUNTIFS('Loot History'!$A:$A,D59,'Loot History'!$G:$G,"Upgrade"))</f>
        <v/>
      </c>
      <c r="I59" s="11" t="str">
        <f>IF(D59="","",COUNTIFS('Loot History'!$A:$A,D59,'Loot History'!$G:$G,"Offspecc"))</f>
        <v/>
      </c>
      <c r="J59" s="11" t="str">
        <f>IF(D59="","",COUNTIFS('Loot History'!$A:$A,D59,'Loot History'!$G:$G,"Passen"))</f>
        <v/>
      </c>
      <c r="K59" s="11" t="str">
        <f t="shared" si="2"/>
        <v/>
      </c>
      <c r="L59" t="str">
        <f>IF(D59="","",IFERROR(INDEX('Loot History'!$I:$I,MATCH(D59,'Loot History'!$A:$A,0)),""))</f>
        <v/>
      </c>
    </row>
    <row r="60" spans="5:28" x14ac:dyDescent="0.25">
      <c r="E60" s="11" t="str">
        <f>IF(D60="","",COUNTIF('Loot History'!$A:$A,D60))</f>
        <v/>
      </c>
      <c r="F60" s="11" t="str">
        <f>IF(D60="","",COUNTIFS('Loot History'!$A:$A,D60,'Loot History'!$G:$G,"BiS"))</f>
        <v/>
      </c>
      <c r="G60" s="11" t="str">
        <f>IF(D60="","",COUNTIFS('Loot History'!$A:$A,D60,'Loot History'!$G:$G,"2nd BiS"))</f>
        <v/>
      </c>
      <c r="H60" s="11" t="str">
        <f>IF(D60="","",COUNTIFS('Loot History'!$A:$A,D60,'Loot History'!$G:$G,"Upgrade"))</f>
        <v/>
      </c>
      <c r="I60" s="11" t="str">
        <f>IF(D60="","",COUNTIFS('Loot History'!$A:$A,D60,'Loot History'!$G:$G,"Offspecc"))</f>
        <v/>
      </c>
      <c r="J60" s="11" t="str">
        <f>IF(D60="","",COUNTIFS('Loot History'!$A:$A,D60,'Loot History'!$G:$G,"Passen"))</f>
        <v/>
      </c>
      <c r="K60" s="11" t="str">
        <f t="shared" si="2"/>
        <v/>
      </c>
      <c r="L60" t="str">
        <f>IF(D60="","",IFERROR(INDEX('Loot History'!$I:$I,MATCH(D60,'Loot History'!$A:$A,0)),""))</f>
        <v/>
      </c>
    </row>
    <row r="61" spans="5:28" x14ac:dyDescent="0.25">
      <c r="E61" s="11" t="str">
        <f>IF(D61="","",COUNTIF('Loot History'!$A:$A,D61))</f>
        <v/>
      </c>
      <c r="F61" s="11" t="str">
        <f>IF(D61="","",COUNTIFS('Loot History'!$A:$A,D61,'Loot History'!$G:$G,"BiS"))</f>
        <v/>
      </c>
      <c r="G61" s="11" t="str">
        <f>IF(D61="","",COUNTIFS('Loot History'!$A:$A,D61,'Loot History'!$G:$G,"2nd BiS"))</f>
        <v/>
      </c>
      <c r="H61" s="11" t="str">
        <f>IF(D61="","",COUNTIFS('Loot History'!$A:$A,D61,'Loot History'!$G:$G,"Upgrade"))</f>
        <v/>
      </c>
      <c r="I61" s="11" t="str">
        <f>IF(D61="","",COUNTIFS('Loot History'!$A:$A,D61,'Loot History'!$G:$G,"Offspecc"))</f>
        <v/>
      </c>
      <c r="J61" s="11" t="str">
        <f>IF(D61="","",COUNTIFS('Loot History'!$A:$A,D61,'Loot History'!$G:$G,"Passen"))</f>
        <v/>
      </c>
      <c r="K61" s="11" t="str">
        <f t="shared" si="2"/>
        <v/>
      </c>
      <c r="L61" t="str">
        <f>IF(D61="","",IFERROR(INDEX('Loot History'!$I:$I,MATCH(D61,'Loot History'!$A:$A,0)),""))</f>
        <v/>
      </c>
    </row>
    <row r="62" spans="5:28" x14ac:dyDescent="0.25">
      <c r="E62" s="11" t="str">
        <f>IF(D62="","",COUNTIF('Loot History'!$A:$A,D62))</f>
        <v/>
      </c>
      <c r="F62" s="11" t="str">
        <f>IF(D62="","",COUNTIFS('Loot History'!$A:$A,D62,'Loot History'!$G:$G,"BiS"))</f>
        <v/>
      </c>
      <c r="G62" s="11" t="str">
        <f>IF(D62="","",COUNTIFS('Loot History'!$A:$A,D62,'Loot History'!$G:$G,"2nd BiS"))</f>
        <v/>
      </c>
      <c r="H62" s="11" t="str">
        <f>IF(D62="","",COUNTIFS('Loot History'!$A:$A,D62,'Loot History'!$G:$G,"Upgrade"))</f>
        <v/>
      </c>
      <c r="I62" s="11" t="str">
        <f>IF(D62="","",COUNTIFS('Loot History'!$A:$A,D62,'Loot History'!$G:$G,"Offspecc"))</f>
        <v/>
      </c>
      <c r="J62" s="11" t="str">
        <f>IF(D62="","",COUNTIFS('Loot History'!$A:$A,D62,'Loot History'!$G:$G,"Passen"))</f>
        <v/>
      </c>
      <c r="K62" s="11" t="str">
        <f t="shared" si="2"/>
        <v/>
      </c>
      <c r="L62" t="str">
        <f>IF(D62="","",IFERROR(INDEX('Loot History'!$I:$I,MATCH(D62,'Loot History'!$A:$A,0)),""))</f>
        <v/>
      </c>
    </row>
    <row r="63" spans="5:28" x14ac:dyDescent="0.25">
      <c r="E63" s="11" t="str">
        <f>IF(D63="","",COUNTIF('Loot History'!$A:$A,D63))</f>
        <v/>
      </c>
      <c r="F63" s="11" t="str">
        <f>IF(D63="","",COUNTIFS('Loot History'!$A:$A,D63,'Loot History'!$G:$G,"BiS"))</f>
        <v/>
      </c>
      <c r="G63" s="11" t="str">
        <f>IF(D63="","",COUNTIFS('Loot History'!$A:$A,D63,'Loot History'!$G:$G,"2nd BiS"))</f>
        <v/>
      </c>
      <c r="H63" s="11" t="str">
        <f>IF(D63="","",COUNTIFS('Loot History'!$A:$A,D63,'Loot History'!$G:$G,"Upgrade"))</f>
        <v/>
      </c>
      <c r="I63" s="11" t="str">
        <f>IF(D63="","",COUNTIFS('Loot History'!$A:$A,D63,'Loot History'!$G:$G,"Offspecc"))</f>
        <v/>
      </c>
      <c r="J63" s="11" t="str">
        <f>IF(D63="","",COUNTIFS('Loot History'!$A:$A,D63,'Loot History'!$G:$G,"Passen"))</f>
        <v/>
      </c>
      <c r="K63" s="11" t="str">
        <f t="shared" si="2"/>
        <v/>
      </c>
      <c r="L63" t="str">
        <f>IF(D63="","",IFERROR(INDEX('Loot History'!$I:$I,MATCH(D63,'Loot History'!$A:$A,0)),""))</f>
        <v/>
      </c>
    </row>
    <row r="64" spans="5:28" x14ac:dyDescent="0.25">
      <c r="E64" s="11" t="str">
        <f>IF(D64="","",COUNTIF('Loot History'!$A:$A,D64))</f>
        <v/>
      </c>
      <c r="F64" s="11" t="str">
        <f>IF(D64="","",COUNTIFS('Loot History'!$A:$A,D64,'Loot History'!$G:$G,"BiS"))</f>
        <v/>
      </c>
      <c r="G64" s="11" t="str">
        <f>IF(D64="","",COUNTIFS('Loot History'!$A:$A,D64,'Loot History'!$G:$G,"2nd BiS"))</f>
        <v/>
      </c>
      <c r="H64" s="11" t="str">
        <f>IF(D64="","",COUNTIFS('Loot History'!$A:$A,D64,'Loot History'!$G:$G,"Upgrade"))</f>
        <v/>
      </c>
      <c r="I64" s="11" t="str">
        <f>IF(D64="","",COUNTIFS('Loot History'!$A:$A,D64,'Loot History'!$G:$G,"Offspecc"))</f>
        <v/>
      </c>
      <c r="J64" s="11" t="str">
        <f>IF(D64="","",COUNTIFS('Loot History'!$A:$A,D64,'Loot History'!$G:$G,"Passen"))</f>
        <v/>
      </c>
      <c r="K64" s="11" t="str">
        <f t="shared" si="2"/>
        <v/>
      </c>
      <c r="L64" t="str">
        <f>IF(D64="","",IFERROR(INDEX('Loot History'!$I:$I,MATCH(D64,'Loot History'!$A:$A,0)),""))</f>
        <v/>
      </c>
    </row>
    <row r="65" spans="5:12" x14ac:dyDescent="0.25">
      <c r="E65" s="11" t="str">
        <f>IF(D65="","",COUNTIF('Loot History'!$A:$A,D65))</f>
        <v/>
      </c>
      <c r="F65" s="11" t="str">
        <f>IF(D65="","",COUNTIFS('Loot History'!$A:$A,D65,'Loot History'!$G:$G,"BiS"))</f>
        <v/>
      </c>
      <c r="G65" s="11" t="str">
        <f>IF(D65="","",COUNTIFS('Loot History'!$A:$A,D65,'Loot History'!$G:$G,"2nd BiS"))</f>
        <v/>
      </c>
      <c r="H65" s="11" t="str">
        <f>IF(D65="","",COUNTIFS('Loot History'!$A:$A,D65,'Loot History'!$G:$G,"Upgrade"))</f>
        <v/>
      </c>
      <c r="I65" s="11" t="str">
        <f>IF(D65="","",COUNTIFS('Loot History'!$A:$A,D65,'Loot History'!$G:$G,"Offspecc"))</f>
        <v/>
      </c>
      <c r="J65" s="11" t="str">
        <f>IF(D65="","",COUNTIFS('Loot History'!$A:$A,D65,'Loot History'!$G:$G,"Passen"))</f>
        <v/>
      </c>
      <c r="K65" s="11" t="str">
        <f t="shared" si="2"/>
        <v/>
      </c>
      <c r="L65" t="str">
        <f>IF(D65="","",IFERROR(INDEX('Loot History'!$I:$I,MATCH(D65,'Loot History'!$A:$A,0)),""))</f>
        <v/>
      </c>
    </row>
    <row r="66" spans="5:12" x14ac:dyDescent="0.25">
      <c r="E66" s="11" t="str">
        <f>IF(D66="","",COUNTIF('Loot History'!$A:$A,D66))</f>
        <v/>
      </c>
      <c r="F66" s="11" t="str">
        <f>IF(D66="","",COUNTIFS('Loot History'!$A:$A,D66,'Loot History'!$G:$G,"BiS"))</f>
        <v/>
      </c>
      <c r="G66" s="11" t="str">
        <f>IF(D66="","",COUNTIFS('Loot History'!$A:$A,D66,'Loot History'!$G:$G,"2nd BiS"))</f>
        <v/>
      </c>
      <c r="H66" s="11" t="str">
        <f>IF(D66="","",COUNTIFS('Loot History'!$A:$A,D66,'Loot History'!$G:$G,"Upgrade"))</f>
        <v/>
      </c>
      <c r="I66" s="11" t="str">
        <f>IF(D66="","",COUNTIFS('Loot History'!$A:$A,D66,'Loot History'!$G:$G,"Offspecc"))</f>
        <v/>
      </c>
      <c r="J66" s="11" t="str">
        <f>IF(D66="","",COUNTIFS('Loot History'!$A:$A,D66,'Loot History'!$G:$G,"Passen"))</f>
        <v/>
      </c>
      <c r="K66" s="11" t="str">
        <f t="shared" si="2"/>
        <v/>
      </c>
      <c r="L66" t="str">
        <f>IF(D66="","",IFERROR(INDEX('Loot History'!$I:$I,MATCH(D66,'Loot History'!$A:$A,0)),""))</f>
        <v/>
      </c>
    </row>
    <row r="67" spans="5:12" x14ac:dyDescent="0.25">
      <c r="E67" s="11" t="str">
        <f>IF(D67="","",COUNTIF('Loot History'!$A:$A,D67))</f>
        <v/>
      </c>
      <c r="F67" s="11" t="str">
        <f>IF(D67="","",COUNTIFS('Loot History'!$A:$A,D67,'Loot History'!$G:$G,"BiS"))</f>
        <v/>
      </c>
      <c r="G67" s="11" t="str">
        <f>IF(D67="","",COUNTIFS('Loot History'!$A:$A,D67,'Loot History'!$G:$G,"2nd BiS"))</f>
        <v/>
      </c>
      <c r="H67" s="11" t="str">
        <f>IF(D67="","",COUNTIFS('Loot History'!$A:$A,D67,'Loot History'!$G:$G,"Upgrade"))</f>
        <v/>
      </c>
      <c r="I67" s="11" t="str">
        <f>IF(D67="","",COUNTIFS('Loot History'!$A:$A,D67,'Loot History'!$G:$G,"Offspecc"))</f>
        <v/>
      </c>
      <c r="J67" s="11" t="str">
        <f>IF(D67="","",COUNTIFS('Loot History'!$A:$A,D67,'Loot History'!$G:$G,"Passen"))</f>
        <v/>
      </c>
      <c r="K67" s="11" t="str">
        <f t="shared" si="2"/>
        <v/>
      </c>
      <c r="L67" t="str">
        <f>IF(D67="","",IFERROR(INDEX('Loot History'!$I:$I,MATCH(D67,'Loot History'!$A:$A,0)),""))</f>
        <v/>
      </c>
    </row>
    <row r="68" spans="5:12" x14ac:dyDescent="0.25">
      <c r="E68" s="11" t="str">
        <f>IF(D68="","",COUNTIF('Loot History'!$A:$A,D68))</f>
        <v/>
      </c>
      <c r="F68" s="11" t="str">
        <f>IF(D68="","",COUNTIFS('Loot History'!$A:$A,D68,'Loot History'!$G:$G,"BiS"))</f>
        <v/>
      </c>
      <c r="G68" s="11" t="str">
        <f>IF(D68="","",COUNTIFS('Loot History'!$A:$A,D68,'Loot History'!$G:$G,"2nd BiS"))</f>
        <v/>
      </c>
      <c r="H68" s="11" t="str">
        <f>IF(D68="","",COUNTIFS('Loot History'!$A:$A,D68,'Loot History'!$G:$G,"Upgrade"))</f>
        <v/>
      </c>
      <c r="I68" s="11" t="str">
        <f>IF(D68="","",COUNTIFS('Loot History'!$A:$A,D68,'Loot History'!$G:$G,"Offspecc"))</f>
        <v/>
      </c>
      <c r="J68" s="11" t="str">
        <f>IF(D68="","",COUNTIFS('Loot History'!$A:$A,D68,'Loot History'!$G:$G,"Passen"))</f>
        <v/>
      </c>
      <c r="K68" s="11" t="str">
        <f t="shared" si="2"/>
        <v/>
      </c>
      <c r="L68" t="str">
        <f>IF(D68="","",IFERROR(INDEX('Loot History'!$I:$I,MATCH(D68,'Loot History'!$A:$A,0)),""))</f>
        <v/>
      </c>
    </row>
    <row r="69" spans="5:12" x14ac:dyDescent="0.25">
      <c r="E69" s="11" t="str">
        <f>IF(D69="","",COUNTIF('Loot History'!$A:$A,D69))</f>
        <v/>
      </c>
      <c r="F69" s="11" t="str">
        <f>IF(D69="","",COUNTIFS('Loot History'!$A:$A,D69,'Loot History'!$G:$G,"BiS"))</f>
        <v/>
      </c>
      <c r="G69" s="11" t="str">
        <f>IF(D69="","",COUNTIFS('Loot History'!$A:$A,D69,'Loot History'!$G:$G,"2nd BiS"))</f>
        <v/>
      </c>
      <c r="H69" s="11" t="str">
        <f>IF(D69="","",COUNTIFS('Loot History'!$A:$A,D69,'Loot History'!$G:$G,"Upgrade"))</f>
        <v/>
      </c>
      <c r="I69" s="11" t="str">
        <f>IF(D69="","",COUNTIFS('Loot History'!$A:$A,D69,'Loot History'!$G:$G,"Offspecc"))</f>
        <v/>
      </c>
      <c r="J69" s="11" t="str">
        <f>IF(D69="","",COUNTIFS('Loot History'!$A:$A,D69,'Loot History'!$G:$G,"Passen"))</f>
        <v/>
      </c>
      <c r="K69" s="11" t="str">
        <f t="shared" si="2"/>
        <v/>
      </c>
      <c r="L69" t="str">
        <f>IF(D69="","",IFERROR(INDEX('Loot History'!$I:$I,MATCH(D69,'Loot History'!$A:$A,0)),""))</f>
        <v/>
      </c>
    </row>
    <row r="70" spans="5:12" x14ac:dyDescent="0.25">
      <c r="E70" s="11" t="str">
        <f>IF(D70="","",COUNTIF('Loot History'!$A:$A,D70))</f>
        <v/>
      </c>
      <c r="F70" s="11" t="str">
        <f>IF(D70="","",COUNTIFS('Loot History'!$A:$A,D70,'Loot History'!$G:$G,"BiS"))</f>
        <v/>
      </c>
      <c r="G70" s="11" t="str">
        <f>IF(D70="","",COUNTIFS('Loot History'!$A:$A,D70,'Loot History'!$G:$G,"2nd BiS"))</f>
        <v/>
      </c>
      <c r="H70" s="11" t="str">
        <f>IF(D70="","",COUNTIFS('Loot History'!$A:$A,D70,'Loot History'!$G:$G,"Upgrade"))</f>
        <v/>
      </c>
      <c r="I70" s="11" t="str">
        <f>IF(D70="","",COUNTIFS('Loot History'!$A:$A,D70,'Loot History'!$G:$G,"Offspecc"))</f>
        <v/>
      </c>
      <c r="J70" s="11" t="str">
        <f>IF(D70="","",COUNTIFS('Loot History'!$A:$A,D70,'Loot History'!$G:$G,"Passen"))</f>
        <v/>
      </c>
      <c r="K70" s="11" t="str">
        <f t="shared" si="2"/>
        <v/>
      </c>
      <c r="L70" t="str">
        <f>IF(D70="","",IFERROR(INDEX('Loot History'!$I:$I,MATCH(D70,'Loot History'!$A:$A,0)),""))</f>
        <v/>
      </c>
    </row>
    <row r="71" spans="5:12" x14ac:dyDescent="0.25">
      <c r="E71" s="11" t="str">
        <f>IF(D71="","",COUNTIF('Loot History'!$A:$A,D71))</f>
        <v/>
      </c>
      <c r="F71" s="11" t="str">
        <f>IF(D71="","",COUNTIFS('Loot History'!$A:$A,D71,'Loot History'!$G:$G,"BiS"))</f>
        <v/>
      </c>
      <c r="G71" s="11" t="str">
        <f>IF(D71="","",COUNTIFS('Loot History'!$A:$A,D71,'Loot History'!$G:$G,"2nd BiS"))</f>
        <v/>
      </c>
      <c r="H71" s="11" t="str">
        <f>IF(D71="","",COUNTIFS('Loot History'!$A:$A,D71,'Loot History'!$G:$G,"Upgrade"))</f>
        <v/>
      </c>
      <c r="I71" s="11" t="str">
        <f>IF(D71="","",COUNTIFS('Loot History'!$A:$A,D71,'Loot History'!$G:$G,"Offspecc"))</f>
        <v/>
      </c>
      <c r="J71" s="11" t="str">
        <f>IF(D71="","",COUNTIFS('Loot History'!$A:$A,D71,'Loot History'!$G:$G,"Passen"))</f>
        <v/>
      </c>
      <c r="K71" s="11" t="str">
        <f t="shared" si="2"/>
        <v/>
      </c>
      <c r="L71" t="str">
        <f>IF(D71="","",IFERROR(INDEX('Loot History'!$I:$I,MATCH(D71,'Loot History'!$A:$A,0)),""))</f>
        <v/>
      </c>
    </row>
    <row r="72" spans="5:12" x14ac:dyDescent="0.25">
      <c r="E72" s="11" t="str">
        <f>IF(D72="","",COUNTIF('Loot History'!$A:$A,D72))</f>
        <v/>
      </c>
      <c r="F72" s="11" t="str">
        <f>IF(D72="","",COUNTIFS('Loot History'!$A:$A,D72,'Loot History'!$G:$G,"BiS"))</f>
        <v/>
      </c>
      <c r="G72" s="11" t="str">
        <f>IF(D72="","",COUNTIFS('Loot History'!$A:$A,D72,'Loot History'!$G:$G,"2nd BiS"))</f>
        <v/>
      </c>
      <c r="H72" s="11" t="str">
        <f>IF(D72="","",COUNTIFS('Loot History'!$A:$A,D72,'Loot History'!$G:$G,"Upgrade"))</f>
        <v/>
      </c>
      <c r="I72" s="11" t="str">
        <f>IF(D72="","",COUNTIFS('Loot History'!$A:$A,D72,'Loot History'!$G:$G,"Offspecc"))</f>
        <v/>
      </c>
      <c r="J72" s="11" t="str">
        <f>IF(D72="","",COUNTIFS('Loot History'!$A:$A,D72,'Loot History'!$G:$G,"Passen"))</f>
        <v/>
      </c>
      <c r="K72" s="11" t="str">
        <f t="shared" si="2"/>
        <v/>
      </c>
      <c r="L72" t="str">
        <f>IF(D72="","",IFERROR(INDEX('Loot History'!$I:$I,MATCH(D72,'Loot History'!$A:$A,0)),""))</f>
        <v/>
      </c>
    </row>
    <row r="73" spans="5:12" x14ac:dyDescent="0.25">
      <c r="E73" s="11" t="str">
        <f>IF(D73="","",COUNTIF('Loot History'!$A:$A,D73))</f>
        <v/>
      </c>
      <c r="F73" s="11" t="str">
        <f>IF(D73="","",COUNTIFS('Loot History'!$A:$A,D73,'Loot History'!$G:$G,"BiS"))</f>
        <v/>
      </c>
      <c r="G73" s="11" t="str">
        <f>IF(D73="","",COUNTIFS('Loot History'!$A:$A,D73,'Loot History'!$G:$G,"2nd BiS"))</f>
        <v/>
      </c>
      <c r="H73" s="11" t="str">
        <f>IF(D73="","",COUNTIFS('Loot History'!$A:$A,D73,'Loot History'!$G:$G,"Upgrade"))</f>
        <v/>
      </c>
      <c r="I73" s="11" t="str">
        <f>IF(D73="","",COUNTIFS('Loot History'!$A:$A,D73,'Loot History'!$G:$G,"Offspecc"))</f>
        <v/>
      </c>
      <c r="J73" s="11" t="str">
        <f>IF(D73="","",COUNTIFS('Loot History'!$A:$A,D73,'Loot History'!$G:$G,"Passen"))</f>
        <v/>
      </c>
      <c r="K73" s="11" t="str">
        <f t="shared" si="2"/>
        <v/>
      </c>
      <c r="L73" t="str">
        <f>IF(D73="","",IFERROR(INDEX('Loot History'!$I:$I,MATCH(D73,'Loot History'!$A:$A,0)),""))</f>
        <v/>
      </c>
    </row>
    <row r="74" spans="5:12" x14ac:dyDescent="0.25">
      <c r="E74" s="11" t="str">
        <f>IF(D74="","",COUNTIF('Loot History'!$A:$A,D74))</f>
        <v/>
      </c>
      <c r="F74" s="11" t="str">
        <f>IF(D74="","",COUNTIFS('Loot History'!$A:$A,D74,'Loot History'!$G:$G,"BiS"))</f>
        <v/>
      </c>
      <c r="G74" s="11" t="str">
        <f>IF(D74="","",COUNTIFS('Loot History'!$A:$A,D74,'Loot History'!$G:$G,"2nd BiS"))</f>
        <v/>
      </c>
      <c r="H74" s="11" t="str">
        <f>IF(D74="","",COUNTIFS('Loot History'!$A:$A,D74,'Loot History'!$G:$G,"Upgrade"))</f>
        <v/>
      </c>
      <c r="I74" s="11" t="str">
        <f>IF(D74="","",COUNTIFS('Loot History'!$A:$A,D74,'Loot History'!$G:$G,"Offspecc"))</f>
        <v/>
      </c>
      <c r="J74" s="11" t="str">
        <f>IF(D74="","",COUNTIFS('Loot History'!$A:$A,D74,'Loot History'!$G:$G,"Passen"))</f>
        <v/>
      </c>
      <c r="K74" s="11" t="str">
        <f t="shared" si="2"/>
        <v/>
      </c>
      <c r="L74" t="str">
        <f>IF(D74="","",IFERROR(INDEX('Loot History'!$I:$I,MATCH(D74,'Loot History'!$A:$A,0)),""))</f>
        <v/>
      </c>
    </row>
    <row r="75" spans="5:12" x14ac:dyDescent="0.25">
      <c r="E75" s="11" t="str">
        <f>IF(D75="","",COUNTIF('Loot History'!$A:$A,D75))</f>
        <v/>
      </c>
      <c r="F75" s="11" t="str">
        <f>IF(D75="","",COUNTIFS('Loot History'!$A:$A,D75,'Loot History'!$G:$G,"BiS"))</f>
        <v/>
      </c>
      <c r="G75" s="11" t="str">
        <f>IF(D75="","",COUNTIFS('Loot History'!$A:$A,D75,'Loot History'!$G:$G,"2nd BiS"))</f>
        <v/>
      </c>
      <c r="H75" s="11" t="str">
        <f>IF(D75="","",COUNTIFS('Loot History'!$A:$A,D75,'Loot History'!$G:$G,"Upgrade"))</f>
        <v/>
      </c>
      <c r="I75" s="11" t="str">
        <f>IF(D75="","",COUNTIFS('Loot History'!$A:$A,D75,'Loot History'!$G:$G,"Offspecc"))</f>
        <v/>
      </c>
      <c r="J75" s="11" t="str">
        <f>IF(D75="","",COUNTIFS('Loot History'!$A:$A,D75,'Loot History'!$G:$G,"Passen"))</f>
        <v/>
      </c>
      <c r="K75" s="11" t="str">
        <f t="shared" si="2"/>
        <v/>
      </c>
      <c r="L75" t="str">
        <f>IF(D75="","",IFERROR(INDEX('Loot History'!$I:$I,MATCH(D75,'Loot History'!$A:$A,0)),""))</f>
        <v/>
      </c>
    </row>
    <row r="76" spans="5:12" x14ac:dyDescent="0.25">
      <c r="E76" s="11" t="str">
        <f>IF(D76="","",COUNTIF('Loot History'!$A:$A,D76))</f>
        <v/>
      </c>
      <c r="F76" s="11" t="str">
        <f>IF(D76="","",COUNTIFS('Loot History'!$A:$A,D76,'Loot History'!$G:$G,"BiS"))</f>
        <v/>
      </c>
      <c r="G76" s="11" t="str">
        <f>IF(D76="","",COUNTIFS('Loot History'!$A:$A,D76,'Loot History'!$G:$G,"2nd BiS"))</f>
        <v/>
      </c>
      <c r="H76" s="11" t="str">
        <f>IF(D76="","",COUNTIFS('Loot History'!$A:$A,D76,'Loot History'!$G:$G,"Upgrade"))</f>
        <v/>
      </c>
      <c r="I76" s="11" t="str">
        <f>IF(D76="","",COUNTIFS('Loot History'!$A:$A,D76,'Loot History'!$G:$G,"Offspecc"))</f>
        <v/>
      </c>
      <c r="J76" s="11" t="str">
        <f>IF(D76="","",COUNTIFS('Loot History'!$A:$A,D76,'Loot History'!$G:$G,"Passen"))</f>
        <v/>
      </c>
      <c r="K76" s="11" t="str">
        <f t="shared" si="2"/>
        <v/>
      </c>
      <c r="L76" t="str">
        <f>IF(D76="","",IFERROR(INDEX('Loot History'!$I:$I,MATCH(D76,'Loot History'!$A:$A,0)),""))</f>
        <v/>
      </c>
    </row>
    <row r="77" spans="5:12" x14ac:dyDescent="0.25">
      <c r="E77" s="11" t="str">
        <f>IF(D77="","",COUNTIF('Loot History'!$A:$A,D77))</f>
        <v/>
      </c>
      <c r="F77" s="11" t="str">
        <f>IF(D77="","",COUNTIFS('Loot History'!$A:$A,D77,'Loot History'!$G:$G,"BiS"))</f>
        <v/>
      </c>
      <c r="G77" s="11" t="str">
        <f>IF(D77="","",COUNTIFS('Loot History'!$A:$A,D77,'Loot History'!$G:$G,"2nd BiS"))</f>
        <v/>
      </c>
      <c r="H77" s="11" t="str">
        <f>IF(D77="","",COUNTIFS('Loot History'!$A:$A,D77,'Loot History'!$G:$G,"Upgrade"))</f>
        <v/>
      </c>
      <c r="I77" s="11" t="str">
        <f>IF(D77="","",COUNTIFS('Loot History'!$A:$A,D77,'Loot History'!$G:$G,"Offspecc"))</f>
        <v/>
      </c>
      <c r="J77" s="11" t="str">
        <f>IF(D77="","",COUNTIFS('Loot History'!$A:$A,D77,'Loot History'!$G:$G,"Passen"))</f>
        <v/>
      </c>
      <c r="K77" s="11" t="str">
        <f t="shared" ref="K77:K108" si="3">IF(D77="","",IFERROR(E77-F77-G77-H77-I77-J77,0))</f>
        <v/>
      </c>
      <c r="L77" t="str">
        <f>IF(D77="","",IFERROR(INDEX('Loot History'!$I:$I,MATCH(D77,'Loot History'!$A:$A,0)),""))</f>
        <v/>
      </c>
    </row>
    <row r="78" spans="5:12" x14ac:dyDescent="0.25">
      <c r="E78" s="11" t="str">
        <f>IF(D78="","",COUNTIF('Loot History'!$A:$A,D78))</f>
        <v/>
      </c>
      <c r="F78" s="11" t="str">
        <f>IF(D78="","",COUNTIFS('Loot History'!$A:$A,D78,'Loot History'!$G:$G,"BiS"))</f>
        <v/>
      </c>
      <c r="G78" s="11" t="str">
        <f>IF(D78="","",COUNTIFS('Loot History'!$A:$A,D78,'Loot History'!$G:$G,"2nd BiS"))</f>
        <v/>
      </c>
      <c r="H78" s="11" t="str">
        <f>IF(D78="","",COUNTIFS('Loot History'!$A:$A,D78,'Loot History'!$G:$G,"Upgrade"))</f>
        <v/>
      </c>
      <c r="I78" s="11" t="str">
        <f>IF(D78="","",COUNTIFS('Loot History'!$A:$A,D78,'Loot History'!$G:$G,"Offspecc"))</f>
        <v/>
      </c>
      <c r="J78" s="11" t="str">
        <f>IF(D78="","",COUNTIFS('Loot History'!$A:$A,D78,'Loot History'!$G:$G,"Passen"))</f>
        <v/>
      </c>
      <c r="K78" s="11" t="str">
        <f t="shared" si="3"/>
        <v/>
      </c>
      <c r="L78" t="str">
        <f>IF(D78="","",IFERROR(INDEX('Loot History'!$I:$I,MATCH(D78,'Loot History'!$A:$A,0)),""))</f>
        <v/>
      </c>
    </row>
    <row r="79" spans="5:12" x14ac:dyDescent="0.25">
      <c r="E79" s="11" t="str">
        <f>IF(D79="","",COUNTIF('Loot History'!$A:$A,D79))</f>
        <v/>
      </c>
      <c r="F79" s="11" t="str">
        <f>IF(D79="","",COUNTIFS('Loot History'!$A:$A,D79,'Loot History'!$G:$G,"BiS"))</f>
        <v/>
      </c>
      <c r="G79" s="11" t="str">
        <f>IF(D79="","",COUNTIFS('Loot History'!$A:$A,D79,'Loot History'!$G:$G,"2nd BiS"))</f>
        <v/>
      </c>
      <c r="H79" s="11" t="str">
        <f>IF(D79="","",COUNTIFS('Loot History'!$A:$A,D79,'Loot History'!$G:$G,"Upgrade"))</f>
        <v/>
      </c>
      <c r="I79" s="11" t="str">
        <f>IF(D79="","",COUNTIFS('Loot History'!$A:$A,D79,'Loot History'!$G:$G,"Offspecc"))</f>
        <v/>
      </c>
      <c r="J79" s="11" t="str">
        <f>IF(D79="","",COUNTIFS('Loot History'!$A:$A,D79,'Loot History'!$G:$G,"Passen"))</f>
        <v/>
      </c>
      <c r="K79" s="11" t="str">
        <f t="shared" si="3"/>
        <v/>
      </c>
      <c r="L79" t="str">
        <f>IF(D79="","",IFERROR(INDEX('Loot History'!$I:$I,MATCH(D79,'Loot History'!$A:$A,0)),""))</f>
        <v/>
      </c>
    </row>
    <row r="80" spans="5:12" x14ac:dyDescent="0.25">
      <c r="E80" s="11" t="str">
        <f>IF(D80="","",COUNTIF('Loot History'!$A:$A,D80))</f>
        <v/>
      </c>
      <c r="F80" s="11" t="str">
        <f>IF(D80="","",COUNTIFS('Loot History'!$A:$A,D80,'Loot History'!$G:$G,"BiS"))</f>
        <v/>
      </c>
      <c r="G80" s="11" t="str">
        <f>IF(D80="","",COUNTIFS('Loot History'!$A:$A,D80,'Loot History'!$G:$G,"2nd BiS"))</f>
        <v/>
      </c>
      <c r="H80" s="11" t="str">
        <f>IF(D80="","",COUNTIFS('Loot History'!$A:$A,D80,'Loot History'!$G:$G,"Upgrade"))</f>
        <v/>
      </c>
      <c r="I80" s="11" t="str">
        <f>IF(D80="","",COUNTIFS('Loot History'!$A:$A,D80,'Loot History'!$G:$G,"Offspecc"))</f>
        <v/>
      </c>
      <c r="J80" s="11" t="str">
        <f>IF(D80="","",COUNTIFS('Loot History'!$A:$A,D80,'Loot History'!$G:$G,"Passen"))</f>
        <v/>
      </c>
      <c r="K80" s="11" t="str">
        <f t="shared" si="3"/>
        <v/>
      </c>
      <c r="L80" t="str">
        <f>IF(D80="","",IFERROR(INDEX('Loot History'!$I:$I,MATCH(D80,'Loot History'!$A:$A,0)),""))</f>
        <v/>
      </c>
    </row>
    <row r="81" spans="5:12" x14ac:dyDescent="0.25">
      <c r="E81" s="11" t="str">
        <f>IF(D81="","",COUNTIF('Loot History'!$A:$A,D81))</f>
        <v/>
      </c>
      <c r="F81" s="11" t="str">
        <f>IF(D81="","",COUNTIFS('Loot History'!$A:$A,D81,'Loot History'!$G:$G,"BiS"))</f>
        <v/>
      </c>
      <c r="G81" s="11" t="str">
        <f>IF(D81="","",COUNTIFS('Loot History'!$A:$A,D81,'Loot History'!$G:$G,"2nd BiS"))</f>
        <v/>
      </c>
      <c r="H81" s="11" t="str">
        <f>IF(D81="","",COUNTIFS('Loot History'!$A:$A,D81,'Loot History'!$G:$G,"Upgrade"))</f>
        <v/>
      </c>
      <c r="I81" s="11" t="str">
        <f>IF(D81="","",COUNTIFS('Loot History'!$A:$A,D81,'Loot History'!$G:$G,"Offspecc"))</f>
        <v/>
      </c>
      <c r="J81" s="11" t="str">
        <f>IF(D81="","",COUNTIFS('Loot History'!$A:$A,D81,'Loot History'!$G:$G,"Passen"))</f>
        <v/>
      </c>
      <c r="K81" s="11" t="str">
        <f t="shared" si="3"/>
        <v/>
      </c>
      <c r="L81" t="str">
        <f>IF(D81="","",IFERROR(INDEX('Loot History'!$I:$I,MATCH(D81,'Loot History'!$A:$A,0)),""))</f>
        <v/>
      </c>
    </row>
    <row r="82" spans="5:12" x14ac:dyDescent="0.25">
      <c r="E82" s="11" t="str">
        <f>IF(D82="","",COUNTIF('Loot History'!$A:$A,D82))</f>
        <v/>
      </c>
      <c r="F82" s="11" t="str">
        <f>IF(D82="","",COUNTIFS('Loot History'!$A:$A,D82,'Loot History'!$G:$G,"BiS"))</f>
        <v/>
      </c>
      <c r="G82" s="11" t="str">
        <f>IF(D82="","",COUNTIFS('Loot History'!$A:$A,D82,'Loot History'!$G:$G,"2nd BiS"))</f>
        <v/>
      </c>
      <c r="H82" s="11" t="str">
        <f>IF(D82="","",COUNTIFS('Loot History'!$A:$A,D82,'Loot History'!$G:$G,"Upgrade"))</f>
        <v/>
      </c>
      <c r="I82" s="11" t="str">
        <f>IF(D82="","",COUNTIFS('Loot History'!$A:$A,D82,'Loot History'!$G:$G,"Offspecc"))</f>
        <v/>
      </c>
      <c r="J82" s="11" t="str">
        <f>IF(D82="","",COUNTIFS('Loot History'!$A:$A,D82,'Loot History'!$G:$G,"Passen"))</f>
        <v/>
      </c>
      <c r="K82" s="11" t="str">
        <f t="shared" si="3"/>
        <v/>
      </c>
      <c r="L82" t="str">
        <f>IF(D82="","",IFERROR(INDEX('Loot History'!$I:$I,MATCH(D82,'Loot History'!$A:$A,0)),""))</f>
        <v/>
      </c>
    </row>
    <row r="83" spans="5:12" x14ac:dyDescent="0.25">
      <c r="E83" s="11" t="str">
        <f>IF(D83="","",COUNTIF('Loot History'!$A:$A,D83))</f>
        <v/>
      </c>
      <c r="F83" s="11" t="str">
        <f>IF(D83="","",COUNTIFS('Loot History'!$A:$A,D83,'Loot History'!$G:$G,"BiS"))</f>
        <v/>
      </c>
      <c r="G83" s="11" t="str">
        <f>IF(D83="","",COUNTIFS('Loot History'!$A:$A,D83,'Loot History'!$G:$G,"2nd BiS"))</f>
        <v/>
      </c>
      <c r="H83" s="11" t="str">
        <f>IF(D83="","",COUNTIFS('Loot History'!$A:$A,D83,'Loot History'!$G:$G,"Upgrade"))</f>
        <v/>
      </c>
      <c r="I83" s="11" t="str">
        <f>IF(D83="","",COUNTIFS('Loot History'!$A:$A,D83,'Loot History'!$G:$G,"Offspecc"))</f>
        <v/>
      </c>
      <c r="J83" s="11" t="str">
        <f>IF(D83="","",COUNTIFS('Loot History'!$A:$A,D83,'Loot History'!$G:$G,"Passen"))</f>
        <v/>
      </c>
      <c r="K83" s="11" t="str">
        <f t="shared" si="3"/>
        <v/>
      </c>
      <c r="L83" t="str">
        <f>IF(D83="","",IFERROR(INDEX('Loot History'!$I:$I,MATCH(D83,'Loot History'!$A:$A,0)),""))</f>
        <v/>
      </c>
    </row>
    <row r="84" spans="5:12" x14ac:dyDescent="0.25">
      <c r="E84" s="11" t="str">
        <f>IF(D84="","",COUNTIF('Loot History'!$A:$A,D84))</f>
        <v/>
      </c>
      <c r="F84" s="11" t="str">
        <f>IF(D84="","",COUNTIFS('Loot History'!$A:$A,D84,'Loot History'!$G:$G,"BiS"))</f>
        <v/>
      </c>
      <c r="G84" s="11" t="str">
        <f>IF(D84="","",COUNTIFS('Loot History'!$A:$A,D84,'Loot History'!$G:$G,"2nd BiS"))</f>
        <v/>
      </c>
      <c r="H84" s="11" t="str">
        <f>IF(D84="","",COUNTIFS('Loot History'!$A:$A,D84,'Loot History'!$G:$G,"Upgrade"))</f>
        <v/>
      </c>
      <c r="I84" s="11" t="str">
        <f>IF(D84="","",COUNTIFS('Loot History'!$A:$A,D84,'Loot History'!$G:$G,"Offspecc"))</f>
        <v/>
      </c>
      <c r="J84" s="11" t="str">
        <f>IF(D84="","",COUNTIFS('Loot History'!$A:$A,D84,'Loot History'!$G:$G,"Passen"))</f>
        <v/>
      </c>
      <c r="K84" s="11" t="str">
        <f t="shared" si="3"/>
        <v/>
      </c>
      <c r="L84" t="str">
        <f>IF(D84="","",IFERROR(INDEX('Loot History'!$I:$I,MATCH(D84,'Loot History'!$A:$A,0)),""))</f>
        <v/>
      </c>
    </row>
    <row r="85" spans="5:12" x14ac:dyDescent="0.25">
      <c r="E85" s="11" t="str">
        <f>IF(D85="","",COUNTIF('Loot History'!$A:$A,D85))</f>
        <v/>
      </c>
      <c r="F85" s="11" t="str">
        <f>IF(D85="","",COUNTIFS('Loot History'!$A:$A,D85,'Loot History'!$G:$G,"BiS"))</f>
        <v/>
      </c>
      <c r="G85" s="11" t="str">
        <f>IF(D85="","",COUNTIFS('Loot History'!$A:$A,D85,'Loot History'!$G:$G,"2nd BiS"))</f>
        <v/>
      </c>
      <c r="H85" s="11" t="str">
        <f>IF(D85="","",COUNTIFS('Loot History'!$A:$A,D85,'Loot History'!$G:$G,"Upgrade"))</f>
        <v/>
      </c>
      <c r="I85" s="11" t="str">
        <f>IF(D85="","",COUNTIFS('Loot History'!$A:$A,D85,'Loot History'!$G:$G,"Offspecc"))</f>
        <v/>
      </c>
      <c r="J85" s="11" t="str">
        <f>IF(D85="","",COUNTIFS('Loot History'!$A:$A,D85,'Loot History'!$G:$G,"Passen"))</f>
        <v/>
      </c>
      <c r="K85" s="11" t="str">
        <f t="shared" si="3"/>
        <v/>
      </c>
      <c r="L85" t="str">
        <f>IF(D85="","",IFERROR(INDEX('Loot History'!$I:$I,MATCH(D85,'Loot History'!$A:$A,0)),""))</f>
        <v/>
      </c>
    </row>
    <row r="86" spans="5:12" x14ac:dyDescent="0.25">
      <c r="E86" s="11" t="str">
        <f>IF(D86="","",COUNTIF('Loot History'!$A:$A,D86))</f>
        <v/>
      </c>
      <c r="F86" s="11" t="str">
        <f>IF(D86="","",COUNTIFS('Loot History'!$A:$A,D86,'Loot History'!$G:$G,"BiS"))</f>
        <v/>
      </c>
      <c r="G86" s="11" t="str">
        <f>IF(D86="","",COUNTIFS('Loot History'!$A:$A,D86,'Loot History'!$G:$G,"2nd BiS"))</f>
        <v/>
      </c>
      <c r="H86" s="11" t="str">
        <f>IF(D86="","",COUNTIFS('Loot History'!$A:$A,D86,'Loot History'!$G:$G,"Upgrade"))</f>
        <v/>
      </c>
      <c r="I86" s="11" t="str">
        <f>IF(D86="","",COUNTIFS('Loot History'!$A:$A,D86,'Loot History'!$G:$G,"Offspecc"))</f>
        <v/>
      </c>
      <c r="J86" s="11" t="str">
        <f>IF(D86="","",COUNTIFS('Loot History'!$A:$A,D86,'Loot History'!$G:$G,"Passen"))</f>
        <v/>
      </c>
      <c r="K86" s="11" t="str">
        <f t="shared" si="3"/>
        <v/>
      </c>
      <c r="L86" t="str">
        <f>IF(D86="","",IFERROR(INDEX('Loot History'!$I:$I,MATCH(D86,'Loot History'!$A:$A,0)),""))</f>
        <v/>
      </c>
    </row>
    <row r="87" spans="5:12" x14ac:dyDescent="0.25">
      <c r="E87" s="11" t="str">
        <f>IF(D87="","",COUNTIF('Loot History'!$A:$A,D87))</f>
        <v/>
      </c>
      <c r="F87" s="11" t="str">
        <f>IF(D87="","",COUNTIFS('Loot History'!$A:$A,D87,'Loot History'!$G:$G,"BiS"))</f>
        <v/>
      </c>
      <c r="G87" s="11" t="str">
        <f>IF(D87="","",COUNTIFS('Loot History'!$A:$A,D87,'Loot History'!$G:$G,"2nd BiS"))</f>
        <v/>
      </c>
      <c r="H87" s="11" t="str">
        <f>IF(D87="","",COUNTIFS('Loot History'!$A:$A,D87,'Loot History'!$G:$G,"Upgrade"))</f>
        <v/>
      </c>
      <c r="I87" s="11" t="str">
        <f>IF(D87="","",COUNTIFS('Loot History'!$A:$A,D87,'Loot History'!$G:$G,"Offspecc"))</f>
        <v/>
      </c>
      <c r="J87" s="11" t="str">
        <f>IF(D87="","",COUNTIFS('Loot History'!$A:$A,D87,'Loot History'!$G:$G,"Passen"))</f>
        <v/>
      </c>
      <c r="K87" s="11" t="str">
        <f t="shared" si="3"/>
        <v/>
      </c>
      <c r="L87" t="str">
        <f>IF(D87="","",IFERROR(INDEX('Loot History'!$I:$I,MATCH(D87,'Loot History'!$A:$A,0)),""))</f>
        <v/>
      </c>
    </row>
    <row r="88" spans="5:12" x14ac:dyDescent="0.25">
      <c r="E88" s="11" t="str">
        <f>IF(D88="","",COUNTIF('Loot History'!$A:$A,D88))</f>
        <v/>
      </c>
      <c r="F88" s="11" t="str">
        <f>IF(D88="","",COUNTIFS('Loot History'!$A:$A,D88,'Loot History'!$G:$G,"BiS"))</f>
        <v/>
      </c>
      <c r="G88" s="11" t="str">
        <f>IF(D88="","",COUNTIFS('Loot History'!$A:$A,D88,'Loot History'!$G:$G,"2nd BiS"))</f>
        <v/>
      </c>
      <c r="H88" s="11" t="str">
        <f>IF(D88="","",COUNTIFS('Loot History'!$A:$A,D88,'Loot History'!$G:$G,"Upgrade"))</f>
        <v/>
      </c>
      <c r="I88" s="11" t="str">
        <f>IF(D88="","",COUNTIFS('Loot History'!$A:$A,D88,'Loot History'!$G:$G,"Offspecc"))</f>
        <v/>
      </c>
      <c r="J88" s="11" t="str">
        <f>IF(D88="","",COUNTIFS('Loot History'!$A:$A,D88,'Loot History'!$G:$G,"Passen"))</f>
        <v/>
      </c>
      <c r="K88" s="11" t="str">
        <f t="shared" si="3"/>
        <v/>
      </c>
      <c r="L88" t="str">
        <f>IF(D88="","",IFERROR(INDEX('Loot History'!$I:$I,MATCH(D88,'Loot History'!$A:$A,0)),""))</f>
        <v/>
      </c>
    </row>
    <row r="89" spans="5:12" x14ac:dyDescent="0.25">
      <c r="E89" s="11" t="str">
        <f>IF(D89="","",COUNTIF('Loot History'!$A:$A,D89))</f>
        <v/>
      </c>
      <c r="F89" s="11" t="str">
        <f>IF(D89="","",COUNTIFS('Loot History'!$A:$A,D89,'Loot History'!$G:$G,"BiS"))</f>
        <v/>
      </c>
      <c r="G89" s="11" t="str">
        <f>IF(D89="","",COUNTIFS('Loot History'!$A:$A,D89,'Loot History'!$G:$G,"2nd BiS"))</f>
        <v/>
      </c>
      <c r="H89" s="11" t="str">
        <f>IF(D89="","",COUNTIFS('Loot History'!$A:$A,D89,'Loot History'!$G:$G,"Upgrade"))</f>
        <v/>
      </c>
      <c r="I89" s="11" t="str">
        <f>IF(D89="","",COUNTIFS('Loot History'!$A:$A,D89,'Loot History'!$G:$G,"Offspecc"))</f>
        <v/>
      </c>
      <c r="J89" s="11" t="str">
        <f>IF(D89="","",COUNTIFS('Loot History'!$A:$A,D89,'Loot History'!$G:$G,"Passen"))</f>
        <v/>
      </c>
      <c r="K89" s="11" t="str">
        <f t="shared" si="3"/>
        <v/>
      </c>
      <c r="L89" t="str">
        <f>IF(D89="","",IFERROR(INDEX('Loot History'!$I:$I,MATCH(D89,'Loot History'!$A:$A,0)),""))</f>
        <v/>
      </c>
    </row>
    <row r="90" spans="5:12" x14ac:dyDescent="0.25">
      <c r="E90" s="11" t="str">
        <f>IF(D90="","",COUNTIF('Loot History'!$A:$A,D90))</f>
        <v/>
      </c>
      <c r="F90" s="11" t="str">
        <f>IF(D90="","",COUNTIFS('Loot History'!$A:$A,D90,'Loot History'!$G:$G,"BiS"))</f>
        <v/>
      </c>
      <c r="G90" s="11" t="str">
        <f>IF(D90="","",COUNTIFS('Loot History'!$A:$A,D90,'Loot History'!$G:$G,"2nd BiS"))</f>
        <v/>
      </c>
      <c r="H90" s="11" t="str">
        <f>IF(D90="","",COUNTIFS('Loot History'!$A:$A,D90,'Loot History'!$G:$G,"Upgrade"))</f>
        <v/>
      </c>
      <c r="I90" s="11" t="str">
        <f>IF(D90="","",COUNTIFS('Loot History'!$A:$A,D90,'Loot History'!$G:$G,"Offspecc"))</f>
        <v/>
      </c>
      <c r="J90" s="11" t="str">
        <f>IF(D90="","",COUNTIFS('Loot History'!$A:$A,D90,'Loot History'!$G:$G,"Passen"))</f>
        <v/>
      </c>
      <c r="K90" s="11" t="str">
        <f t="shared" si="3"/>
        <v/>
      </c>
      <c r="L90" t="str">
        <f>IF(D90="","",IFERROR(INDEX('Loot History'!$I:$I,MATCH(D90,'Loot History'!$A:$A,0)),""))</f>
        <v/>
      </c>
    </row>
    <row r="91" spans="5:12" x14ac:dyDescent="0.25">
      <c r="E91" s="11" t="str">
        <f>IF(D91="","",COUNTIF('Loot History'!$A:$A,D91))</f>
        <v/>
      </c>
      <c r="F91" s="11" t="str">
        <f>IF(D91="","",COUNTIFS('Loot History'!$A:$A,D91,'Loot History'!$G:$G,"BiS"))</f>
        <v/>
      </c>
      <c r="G91" s="11" t="str">
        <f>IF(D91="","",COUNTIFS('Loot History'!$A:$A,D91,'Loot History'!$G:$G,"2nd BiS"))</f>
        <v/>
      </c>
      <c r="H91" s="11" t="str">
        <f>IF(D91="","",COUNTIFS('Loot History'!$A:$A,D91,'Loot History'!$G:$G,"Upgrade"))</f>
        <v/>
      </c>
      <c r="I91" s="11" t="str">
        <f>IF(D91="","",COUNTIFS('Loot History'!$A:$A,D91,'Loot History'!$G:$G,"Offspecc"))</f>
        <v/>
      </c>
      <c r="J91" s="11" t="str">
        <f>IF(D91="","",COUNTIFS('Loot History'!$A:$A,D91,'Loot History'!$G:$G,"Passen"))</f>
        <v/>
      </c>
      <c r="K91" s="11" t="str">
        <f t="shared" si="3"/>
        <v/>
      </c>
      <c r="L91" t="str">
        <f>IF(D91="","",IFERROR(INDEX('Loot History'!$I:$I,MATCH(D91,'Loot History'!$A:$A,0)),""))</f>
        <v/>
      </c>
    </row>
    <row r="92" spans="5:12" x14ac:dyDescent="0.25">
      <c r="E92" s="11" t="str">
        <f>IF(D92="","",COUNTIF('Loot History'!$A:$A,D92))</f>
        <v/>
      </c>
      <c r="F92" s="11" t="str">
        <f>IF(D92="","",COUNTIFS('Loot History'!$A:$A,D92,'Loot History'!$G:$G,"BiS"))</f>
        <v/>
      </c>
      <c r="G92" s="11" t="str">
        <f>IF(D92="","",COUNTIFS('Loot History'!$A:$A,D92,'Loot History'!$G:$G,"2nd BiS"))</f>
        <v/>
      </c>
      <c r="H92" s="11" t="str">
        <f>IF(D92="","",COUNTIFS('Loot History'!$A:$A,D92,'Loot History'!$G:$G,"Upgrade"))</f>
        <v/>
      </c>
      <c r="I92" s="11" t="str">
        <f>IF(D92="","",COUNTIFS('Loot History'!$A:$A,D92,'Loot History'!$G:$G,"Offspecc"))</f>
        <v/>
      </c>
      <c r="J92" s="11" t="str">
        <f>IF(D92="","",COUNTIFS('Loot History'!$A:$A,D92,'Loot History'!$G:$G,"Passen"))</f>
        <v/>
      </c>
      <c r="K92" s="11" t="str">
        <f t="shared" si="3"/>
        <v/>
      </c>
      <c r="L92" t="str">
        <f>IF(D92="","",IFERROR(INDEX('Loot History'!$I:$I,MATCH(D92,'Loot History'!$A:$A,0)),""))</f>
        <v/>
      </c>
    </row>
    <row r="93" spans="5:12" x14ac:dyDescent="0.25">
      <c r="E93" s="11" t="str">
        <f>IF(D93="","",COUNTIF('Loot History'!$A:$A,D93))</f>
        <v/>
      </c>
      <c r="F93" s="11" t="str">
        <f>IF(D93="","",COUNTIFS('Loot History'!$A:$A,D93,'Loot History'!$G:$G,"BiS"))</f>
        <v/>
      </c>
      <c r="G93" s="11" t="str">
        <f>IF(D93="","",COUNTIFS('Loot History'!$A:$A,D93,'Loot History'!$G:$G,"2nd BiS"))</f>
        <v/>
      </c>
      <c r="H93" s="11" t="str">
        <f>IF(D93="","",COUNTIFS('Loot History'!$A:$A,D93,'Loot History'!$G:$G,"Upgrade"))</f>
        <v/>
      </c>
      <c r="I93" s="11" t="str">
        <f>IF(D93="","",COUNTIFS('Loot History'!$A:$A,D93,'Loot History'!$G:$G,"Offspecc"))</f>
        <v/>
      </c>
      <c r="J93" s="11" t="str">
        <f>IF(D93="","",COUNTIFS('Loot History'!$A:$A,D93,'Loot History'!$G:$G,"Passen"))</f>
        <v/>
      </c>
      <c r="K93" s="11" t="str">
        <f t="shared" si="3"/>
        <v/>
      </c>
      <c r="L93" t="str">
        <f>IF(D93="","",IFERROR(INDEX('Loot History'!$I:$I,MATCH(D93,'Loot History'!$A:$A,0)),""))</f>
        <v/>
      </c>
    </row>
    <row r="94" spans="5:12" x14ac:dyDescent="0.25">
      <c r="E94" s="11" t="str">
        <f>IF(D94="","",COUNTIF('Loot History'!$A:$A,D94))</f>
        <v/>
      </c>
      <c r="F94" s="11" t="str">
        <f>IF(D94="","",COUNTIFS('Loot History'!$A:$A,D94,'Loot History'!$G:$G,"BiS"))</f>
        <v/>
      </c>
      <c r="G94" s="11" t="str">
        <f>IF(D94="","",COUNTIFS('Loot History'!$A:$A,D94,'Loot History'!$G:$G,"2nd BiS"))</f>
        <v/>
      </c>
      <c r="H94" s="11" t="str">
        <f>IF(D94="","",COUNTIFS('Loot History'!$A:$A,D94,'Loot History'!$G:$G,"Upgrade"))</f>
        <v/>
      </c>
      <c r="I94" s="11" t="str">
        <f>IF(D94="","",COUNTIFS('Loot History'!$A:$A,D94,'Loot History'!$G:$G,"Offspecc"))</f>
        <v/>
      </c>
      <c r="J94" s="11" t="str">
        <f>IF(D94="","",COUNTIFS('Loot History'!$A:$A,D94,'Loot History'!$G:$G,"Passen"))</f>
        <v/>
      </c>
      <c r="K94" s="11" t="str">
        <f t="shared" si="3"/>
        <v/>
      </c>
      <c r="L94" t="str">
        <f>IF(D94="","",IFERROR(INDEX('Loot History'!$I:$I,MATCH(D94,'Loot History'!$A:$A,0)),""))</f>
        <v/>
      </c>
    </row>
    <row r="95" spans="5:12" x14ac:dyDescent="0.25">
      <c r="E95" s="11" t="str">
        <f>IF(D95="","",COUNTIF('Loot History'!$A:$A,D95))</f>
        <v/>
      </c>
      <c r="F95" s="11" t="str">
        <f>IF(D95="","",COUNTIFS('Loot History'!$A:$A,D95,'Loot History'!$G:$G,"BiS"))</f>
        <v/>
      </c>
      <c r="G95" s="11" t="str">
        <f>IF(D95="","",COUNTIFS('Loot History'!$A:$A,D95,'Loot History'!$G:$G,"2nd BiS"))</f>
        <v/>
      </c>
      <c r="H95" s="11" t="str">
        <f>IF(D95="","",COUNTIFS('Loot History'!$A:$A,D95,'Loot History'!$G:$G,"Upgrade"))</f>
        <v/>
      </c>
      <c r="I95" s="11" t="str">
        <f>IF(D95="","",COUNTIFS('Loot History'!$A:$A,D95,'Loot History'!$G:$G,"Offspecc"))</f>
        <v/>
      </c>
      <c r="J95" s="11" t="str">
        <f>IF(D95="","",COUNTIFS('Loot History'!$A:$A,D95,'Loot History'!$G:$G,"Passen"))</f>
        <v/>
      </c>
      <c r="K95" s="11" t="str">
        <f t="shared" si="3"/>
        <v/>
      </c>
      <c r="L95" t="str">
        <f>IF(D95="","",IFERROR(INDEX('Loot History'!$I:$I,MATCH(D95,'Loot History'!$A:$A,0)),""))</f>
        <v/>
      </c>
    </row>
    <row r="96" spans="5:12" x14ac:dyDescent="0.25">
      <c r="E96" s="11" t="str">
        <f>IF(D96="","",COUNTIF('Loot History'!$A:$A,D96))</f>
        <v/>
      </c>
      <c r="F96" s="11" t="str">
        <f>IF(D96="","",COUNTIFS('Loot History'!$A:$A,D96,'Loot History'!$G:$G,"BiS"))</f>
        <v/>
      </c>
      <c r="G96" s="11" t="str">
        <f>IF(D96="","",COUNTIFS('Loot History'!$A:$A,D96,'Loot History'!$G:$G,"2nd BiS"))</f>
        <v/>
      </c>
      <c r="H96" s="11" t="str">
        <f>IF(D96="","",COUNTIFS('Loot History'!$A:$A,D96,'Loot History'!$G:$G,"Upgrade"))</f>
        <v/>
      </c>
      <c r="I96" s="11" t="str">
        <f>IF(D96="","",COUNTIFS('Loot History'!$A:$A,D96,'Loot History'!$G:$G,"Offspecc"))</f>
        <v/>
      </c>
      <c r="J96" s="11" t="str">
        <f>IF(D96="","",COUNTIFS('Loot History'!$A:$A,D96,'Loot History'!$G:$G,"Passen"))</f>
        <v/>
      </c>
      <c r="K96" s="11" t="str">
        <f t="shared" si="3"/>
        <v/>
      </c>
      <c r="L96" t="str">
        <f>IF(D96="","",IFERROR(INDEX('Loot History'!$I:$I,MATCH(D96,'Loot History'!$A:$A,0)),""))</f>
        <v/>
      </c>
    </row>
    <row r="97" spans="5:12" x14ac:dyDescent="0.25">
      <c r="E97" s="11" t="str">
        <f>IF(D97="","",COUNTIF('Loot History'!$A:$A,D97))</f>
        <v/>
      </c>
      <c r="F97" s="11" t="str">
        <f>IF(D97="","",COUNTIFS('Loot History'!$A:$A,D97,'Loot History'!$G:$G,"BiS"))</f>
        <v/>
      </c>
      <c r="G97" s="11" t="str">
        <f>IF(D97="","",COUNTIFS('Loot History'!$A:$A,D97,'Loot History'!$G:$G,"2nd BiS"))</f>
        <v/>
      </c>
      <c r="H97" s="11" t="str">
        <f>IF(D97="","",COUNTIFS('Loot History'!$A:$A,D97,'Loot History'!$G:$G,"Upgrade"))</f>
        <v/>
      </c>
      <c r="I97" s="11" t="str">
        <f>IF(D97="","",COUNTIFS('Loot History'!$A:$A,D97,'Loot History'!$G:$G,"Offspecc"))</f>
        <v/>
      </c>
      <c r="J97" s="11" t="str">
        <f>IF(D97="","",COUNTIFS('Loot History'!$A:$A,D97,'Loot History'!$G:$G,"Passen"))</f>
        <v/>
      </c>
      <c r="K97" s="11" t="str">
        <f t="shared" si="3"/>
        <v/>
      </c>
      <c r="L97" t="str">
        <f>IF(D97="","",IFERROR(INDEX('Loot History'!$I:$I,MATCH(D97,'Loot History'!$A:$A,0)),""))</f>
        <v/>
      </c>
    </row>
    <row r="98" spans="5:12" x14ac:dyDescent="0.25">
      <c r="E98" s="11" t="str">
        <f>IF(D98="","",COUNTIF('Loot History'!$A:$A,D98))</f>
        <v/>
      </c>
      <c r="F98" s="11" t="str">
        <f>IF(D98="","",COUNTIFS('Loot History'!$A:$A,D98,'Loot History'!$G:$G,"BiS"))</f>
        <v/>
      </c>
      <c r="G98" s="11" t="str">
        <f>IF(D98="","",COUNTIFS('Loot History'!$A:$A,D98,'Loot History'!$G:$G,"2nd BiS"))</f>
        <v/>
      </c>
      <c r="H98" s="11" t="str">
        <f>IF(D98="","",COUNTIFS('Loot History'!$A:$A,D98,'Loot History'!$G:$G,"Upgrade"))</f>
        <v/>
      </c>
      <c r="I98" s="11" t="str">
        <f>IF(D98="","",COUNTIFS('Loot History'!$A:$A,D98,'Loot History'!$G:$G,"Offspecc"))</f>
        <v/>
      </c>
      <c r="J98" s="11" t="str">
        <f>IF(D98="","",COUNTIFS('Loot History'!$A:$A,D98,'Loot History'!$G:$G,"Passen"))</f>
        <v/>
      </c>
      <c r="K98" s="11" t="str">
        <f t="shared" si="3"/>
        <v/>
      </c>
      <c r="L98" t="str">
        <f>IF(D98="","",IFERROR(INDEX('Loot History'!$I:$I,MATCH(D98,'Loot History'!$A:$A,0)),""))</f>
        <v/>
      </c>
    </row>
    <row r="99" spans="5:12" x14ac:dyDescent="0.25">
      <c r="E99" s="11" t="str">
        <f>IF(D99="","",COUNTIF('Loot History'!$A:$A,D99))</f>
        <v/>
      </c>
      <c r="F99" s="11" t="str">
        <f>IF(D99="","",COUNTIFS('Loot History'!$A:$A,D99,'Loot History'!$G:$G,"BiS"))</f>
        <v/>
      </c>
      <c r="G99" s="11" t="str">
        <f>IF(D99="","",COUNTIFS('Loot History'!$A:$A,D99,'Loot History'!$G:$G,"2nd BiS"))</f>
        <v/>
      </c>
      <c r="H99" s="11" t="str">
        <f>IF(D99="","",COUNTIFS('Loot History'!$A:$A,D99,'Loot History'!$G:$G,"Upgrade"))</f>
        <v/>
      </c>
      <c r="I99" s="11" t="str">
        <f>IF(D99="","",COUNTIFS('Loot History'!$A:$A,D99,'Loot History'!$G:$G,"Offspecc"))</f>
        <v/>
      </c>
      <c r="J99" s="11" t="str">
        <f>IF(D99="","",COUNTIFS('Loot History'!$A:$A,D99,'Loot History'!$G:$G,"Passen"))</f>
        <v/>
      </c>
      <c r="K99" s="11" t="str">
        <f t="shared" si="3"/>
        <v/>
      </c>
      <c r="L99" t="str">
        <f>IF(D99="","",IFERROR(INDEX('Loot History'!$I:$I,MATCH(D99,'Loot History'!$A:$A,0)),""))</f>
        <v/>
      </c>
    </row>
    <row r="100" spans="5:12" x14ac:dyDescent="0.25">
      <c r="E100" s="11" t="str">
        <f>IF(D100="","",COUNTIF('Loot History'!$A:$A,D100))</f>
        <v/>
      </c>
      <c r="F100" s="11" t="str">
        <f>IF(D100="","",COUNTIFS('Loot History'!$A:$A,D100,'Loot History'!$G:$G,"BiS"))</f>
        <v/>
      </c>
      <c r="G100" s="11" t="str">
        <f>IF(D100="","",COUNTIFS('Loot History'!$A:$A,D100,'Loot History'!$G:$G,"2nd BiS"))</f>
        <v/>
      </c>
      <c r="H100" s="11" t="str">
        <f>IF(D100="","",COUNTIFS('Loot History'!$A:$A,D100,'Loot History'!$G:$G,"Upgrade"))</f>
        <v/>
      </c>
      <c r="I100" s="11" t="str">
        <f>IF(D100="","",COUNTIFS('Loot History'!$A:$A,D100,'Loot History'!$G:$G,"Offspecc"))</f>
        <v/>
      </c>
      <c r="J100" s="11" t="str">
        <f>IF(D100="","",COUNTIFS('Loot History'!$A:$A,D100,'Loot History'!$G:$G,"Passen"))</f>
        <v/>
      </c>
      <c r="K100" s="11" t="str">
        <f t="shared" si="3"/>
        <v/>
      </c>
      <c r="L100" t="str">
        <f>IF(D100="","",IFERROR(INDEX('Loot History'!$I:$I,MATCH(D100,'Loot History'!$A:$A,0)),""))</f>
        <v/>
      </c>
    </row>
    <row r="101" spans="5:12" x14ac:dyDescent="0.25">
      <c r="E101" s="11" t="str">
        <f>IF(D101="","",COUNTIF('Loot History'!$A:$A,D101))</f>
        <v/>
      </c>
      <c r="F101" s="11" t="str">
        <f>IF(D101="","",COUNTIFS('Loot History'!$A:$A,D101,'Loot History'!$G:$G,"BiS"))</f>
        <v/>
      </c>
      <c r="G101" s="11" t="str">
        <f>IF(D101="","",COUNTIFS('Loot History'!$A:$A,D101,'Loot History'!$G:$G,"2nd BiS"))</f>
        <v/>
      </c>
      <c r="H101" s="11" t="str">
        <f>IF(D101="","",COUNTIFS('Loot History'!$A:$A,D101,'Loot History'!$G:$G,"Upgrade"))</f>
        <v/>
      </c>
      <c r="I101" s="11" t="str">
        <f>IF(D101="","",COUNTIFS('Loot History'!$A:$A,D101,'Loot History'!$G:$G,"Offspecc"))</f>
        <v/>
      </c>
      <c r="J101" s="11" t="str">
        <f>IF(D101="","",COUNTIFS('Loot History'!$A:$A,D101,'Loot History'!$G:$G,"Passen"))</f>
        <v/>
      </c>
      <c r="K101" s="11" t="str">
        <f t="shared" si="3"/>
        <v/>
      </c>
      <c r="L101" t="str">
        <f>IF(D101="","",IFERROR(INDEX('Loot History'!$I:$I,MATCH(D101,'Loot History'!$A:$A,0)),""))</f>
        <v/>
      </c>
    </row>
    <row r="102" spans="5:12" x14ac:dyDescent="0.25">
      <c r="E102" s="11" t="str">
        <f>IF(D102="","",COUNTIF('Loot History'!$A:$A,D102))</f>
        <v/>
      </c>
      <c r="F102" s="11" t="str">
        <f>IF(D102="","",COUNTIFS('Loot History'!$A:$A,D102,'Loot History'!$G:$G,"BiS"))</f>
        <v/>
      </c>
      <c r="G102" s="11" t="str">
        <f>IF(D102="","",COUNTIFS('Loot History'!$A:$A,D102,'Loot History'!$G:$G,"2nd BiS"))</f>
        <v/>
      </c>
      <c r="H102" s="11" t="str">
        <f>IF(D102="","",COUNTIFS('Loot History'!$A:$A,D102,'Loot History'!$G:$G,"Upgrade"))</f>
        <v/>
      </c>
      <c r="I102" s="11" t="str">
        <f>IF(D102="","",COUNTIFS('Loot History'!$A:$A,D102,'Loot History'!$G:$G,"Offspecc"))</f>
        <v/>
      </c>
      <c r="J102" s="11" t="str">
        <f>IF(D102="","",COUNTIFS('Loot History'!$A:$A,D102,'Loot History'!$G:$G,"Passen"))</f>
        <v/>
      </c>
      <c r="K102" s="11" t="str">
        <f t="shared" si="3"/>
        <v/>
      </c>
      <c r="L102" t="str">
        <f>IF(D102="","",IFERROR(INDEX('Loot History'!$I:$I,MATCH(D102,'Loot History'!$A:$A,0)),""))</f>
        <v/>
      </c>
    </row>
    <row r="103" spans="5:12" x14ac:dyDescent="0.25">
      <c r="E103" s="11" t="str">
        <f>IF(D103="","",COUNTIF('Loot History'!$A:$A,D103))</f>
        <v/>
      </c>
      <c r="F103" s="11" t="str">
        <f>IF(D103="","",COUNTIFS('Loot History'!$A:$A,D103,'Loot History'!$G:$G,"BiS"))</f>
        <v/>
      </c>
      <c r="G103" s="11" t="str">
        <f>IF(D103="","",COUNTIFS('Loot History'!$A:$A,D103,'Loot History'!$G:$G,"2nd BiS"))</f>
        <v/>
      </c>
      <c r="H103" s="11" t="str">
        <f>IF(D103="","",COUNTIFS('Loot History'!$A:$A,D103,'Loot History'!$G:$G,"Upgrade"))</f>
        <v/>
      </c>
      <c r="I103" s="11" t="str">
        <f>IF(D103="","",COUNTIFS('Loot History'!$A:$A,D103,'Loot History'!$G:$G,"Offspecc"))</f>
        <v/>
      </c>
      <c r="J103" s="11" t="str">
        <f>IF(D103="","",COUNTIFS('Loot History'!$A:$A,D103,'Loot History'!$G:$G,"Passen"))</f>
        <v/>
      </c>
      <c r="K103" s="11" t="str">
        <f t="shared" si="3"/>
        <v/>
      </c>
      <c r="L103" t="str">
        <f>IF(D103="","",IFERROR(INDEX('Loot History'!$I:$I,MATCH(D103,'Loot History'!$A:$A,0)),""))</f>
        <v/>
      </c>
    </row>
    <row r="104" spans="5:12" x14ac:dyDescent="0.25">
      <c r="E104" s="11" t="str">
        <f>IF(D104="","",COUNTIF('Loot History'!$A:$A,D104))</f>
        <v/>
      </c>
      <c r="F104" s="11" t="str">
        <f>IF(D104="","",COUNTIFS('Loot History'!$A:$A,D104,'Loot History'!$G:$G,"BiS"))</f>
        <v/>
      </c>
      <c r="G104" s="11" t="str">
        <f>IF(D104="","",COUNTIFS('Loot History'!$A:$A,D104,'Loot History'!$G:$G,"2nd BiS"))</f>
        <v/>
      </c>
      <c r="H104" s="11" t="str">
        <f>IF(D104="","",COUNTIFS('Loot History'!$A:$A,D104,'Loot History'!$G:$G,"Upgrade"))</f>
        <v/>
      </c>
      <c r="I104" s="11" t="str">
        <f>IF(D104="","",COUNTIFS('Loot History'!$A:$A,D104,'Loot History'!$G:$G,"Offspecc"))</f>
        <v/>
      </c>
      <c r="J104" s="11" t="str">
        <f>IF(D104="","",COUNTIFS('Loot History'!$A:$A,D104,'Loot History'!$G:$G,"Passen"))</f>
        <v/>
      </c>
      <c r="K104" s="11" t="str">
        <f t="shared" si="3"/>
        <v/>
      </c>
      <c r="L104" t="str">
        <f>IF(D104="","",IFERROR(INDEX('Loot History'!$I:$I,MATCH(D104,'Loot History'!$A:$A,0)),""))</f>
        <v/>
      </c>
    </row>
    <row r="105" spans="5:12" x14ac:dyDescent="0.25">
      <c r="E105" s="11" t="str">
        <f>IF(D105="","",COUNTIF('Loot History'!$A:$A,D105))</f>
        <v/>
      </c>
      <c r="F105" s="11" t="str">
        <f>IF(D105="","",COUNTIFS('Loot History'!$A:$A,D105,'Loot History'!$G:$G,"BiS"))</f>
        <v/>
      </c>
      <c r="G105" s="11" t="str">
        <f>IF(D105="","",COUNTIFS('Loot History'!$A:$A,D105,'Loot History'!$G:$G,"2nd BiS"))</f>
        <v/>
      </c>
      <c r="H105" s="11" t="str">
        <f>IF(D105="","",COUNTIFS('Loot History'!$A:$A,D105,'Loot History'!$G:$G,"Upgrade"))</f>
        <v/>
      </c>
      <c r="I105" s="11" t="str">
        <f>IF(D105="","",COUNTIFS('Loot History'!$A:$A,D105,'Loot History'!$G:$G,"Offspecc"))</f>
        <v/>
      </c>
      <c r="J105" s="11" t="str">
        <f>IF(D105="","",COUNTIFS('Loot History'!$A:$A,D105,'Loot History'!$G:$G,"Passen"))</f>
        <v/>
      </c>
      <c r="K105" s="11" t="str">
        <f t="shared" si="3"/>
        <v/>
      </c>
      <c r="L105" t="str">
        <f>IF(D105="","",IFERROR(INDEX('Loot History'!$I:$I,MATCH(D105,'Loot History'!$A:$A,0)),""))</f>
        <v/>
      </c>
    </row>
    <row r="106" spans="5:12" x14ac:dyDescent="0.25">
      <c r="E106" s="11" t="str">
        <f>IF(D106="","",COUNTIF('Loot History'!$A:$A,D106))</f>
        <v/>
      </c>
      <c r="F106" s="11" t="str">
        <f>IF(D106="","",COUNTIFS('Loot History'!$A:$A,D106,'Loot History'!$G:$G,"BiS"))</f>
        <v/>
      </c>
      <c r="G106" s="11" t="str">
        <f>IF(D106="","",COUNTIFS('Loot History'!$A:$A,D106,'Loot History'!$G:$G,"2nd BiS"))</f>
        <v/>
      </c>
      <c r="H106" s="11" t="str">
        <f>IF(D106="","",COUNTIFS('Loot History'!$A:$A,D106,'Loot History'!$G:$G,"Upgrade"))</f>
        <v/>
      </c>
      <c r="I106" s="11" t="str">
        <f>IF(D106="","",COUNTIFS('Loot History'!$A:$A,D106,'Loot History'!$G:$G,"Offspecc"))</f>
        <v/>
      </c>
      <c r="J106" s="11" t="str">
        <f>IF(D106="","",COUNTIFS('Loot History'!$A:$A,D106,'Loot History'!$G:$G,"Passen"))</f>
        <v/>
      </c>
      <c r="K106" s="11" t="str">
        <f t="shared" si="3"/>
        <v/>
      </c>
      <c r="L106" t="str">
        <f>IF(D106="","",IFERROR(INDEX('Loot History'!$I:$I,MATCH(D106,'Loot History'!$A:$A,0)),""))</f>
        <v/>
      </c>
    </row>
    <row r="107" spans="5:12" x14ac:dyDescent="0.25">
      <c r="E107" s="11" t="str">
        <f>IF(D107="","",COUNTIF('Loot History'!$A:$A,D107))</f>
        <v/>
      </c>
      <c r="F107" s="11" t="str">
        <f>IF(D107="","",COUNTIFS('Loot History'!$A:$A,D107,'Loot History'!$G:$G,"BiS"))</f>
        <v/>
      </c>
      <c r="G107" s="11" t="str">
        <f>IF(D107="","",COUNTIFS('Loot History'!$A:$A,D107,'Loot History'!$G:$G,"2nd BiS"))</f>
        <v/>
      </c>
      <c r="H107" s="11" t="str">
        <f>IF(D107="","",COUNTIFS('Loot History'!$A:$A,D107,'Loot History'!$G:$G,"Upgrade"))</f>
        <v/>
      </c>
      <c r="I107" s="11" t="str">
        <f>IF(D107="","",COUNTIFS('Loot History'!$A:$A,D107,'Loot History'!$G:$G,"Offspecc"))</f>
        <v/>
      </c>
      <c r="J107" s="11" t="str">
        <f>IF(D107="","",COUNTIFS('Loot History'!$A:$A,D107,'Loot History'!$G:$G,"Passen"))</f>
        <v/>
      </c>
      <c r="K107" s="11" t="str">
        <f t="shared" si="3"/>
        <v/>
      </c>
      <c r="L107" t="str">
        <f>IF(D107="","",IFERROR(INDEX('Loot History'!$I:$I,MATCH(D107,'Loot History'!$A:$A,0)),""))</f>
        <v/>
      </c>
    </row>
    <row r="108" spans="5:12" x14ac:dyDescent="0.25">
      <c r="E108" s="11" t="str">
        <f>IF(D108="","",COUNTIF('Loot History'!$A:$A,D108))</f>
        <v/>
      </c>
      <c r="F108" s="11" t="str">
        <f>IF(D108="","",COUNTIFS('Loot History'!$A:$A,D108,'Loot History'!$G:$G,"BiS"))</f>
        <v/>
      </c>
      <c r="G108" s="11" t="str">
        <f>IF(D108="","",COUNTIFS('Loot History'!$A:$A,D108,'Loot History'!$G:$G,"2nd BiS"))</f>
        <v/>
      </c>
      <c r="H108" s="11" t="str">
        <f>IF(D108="","",COUNTIFS('Loot History'!$A:$A,D108,'Loot History'!$G:$G,"Upgrade"))</f>
        <v/>
      </c>
      <c r="I108" s="11" t="str">
        <f>IF(D108="","",COUNTIFS('Loot History'!$A:$A,D108,'Loot History'!$G:$G,"Offspecc"))</f>
        <v/>
      </c>
      <c r="J108" s="11" t="str">
        <f>IF(D108="","",COUNTIFS('Loot History'!$A:$A,D108,'Loot History'!$G:$G,"Passen"))</f>
        <v/>
      </c>
      <c r="K108" s="11" t="str">
        <f t="shared" si="3"/>
        <v/>
      </c>
      <c r="L108" t="str">
        <f>IF(D108="","",IFERROR(INDEX('Loot History'!$I:$I,MATCH(D108,'Loot History'!$A:$A,0)),""))</f>
        <v/>
      </c>
    </row>
    <row r="109" spans="5:12" x14ac:dyDescent="0.25">
      <c r="E109" s="11" t="str">
        <f>IF(D109="","",COUNTIF('Loot History'!$A:$A,D109))</f>
        <v/>
      </c>
      <c r="F109" s="11" t="str">
        <f>IF(D109="","",COUNTIFS('Loot History'!$A:$A,D109,'Loot History'!$G:$G,"BiS"))</f>
        <v/>
      </c>
      <c r="G109" s="11" t="str">
        <f>IF(D109="","",COUNTIFS('Loot History'!$A:$A,D109,'Loot History'!$G:$G,"2nd BiS"))</f>
        <v/>
      </c>
      <c r="H109" s="11" t="str">
        <f>IF(D109="","",COUNTIFS('Loot History'!$A:$A,D109,'Loot History'!$G:$G,"Upgrade"))</f>
        <v/>
      </c>
      <c r="I109" s="11" t="str">
        <f>IF(D109="","",COUNTIFS('Loot History'!$A:$A,D109,'Loot History'!$G:$G,"Offspecc"))</f>
        <v/>
      </c>
      <c r="J109" s="11" t="str">
        <f>IF(D109="","",COUNTIFS('Loot History'!$A:$A,D109,'Loot History'!$G:$G,"Passen"))</f>
        <v/>
      </c>
      <c r="K109" s="11" t="str">
        <f t="shared" ref="K109:K140" si="4">IF(D109="","",IFERROR(E109-F109-G109-H109-I109-J109,0))</f>
        <v/>
      </c>
      <c r="L109" t="str">
        <f>IF(D109="","",IFERROR(INDEX('Loot History'!$I:$I,MATCH(D109,'Loot History'!$A:$A,0)),""))</f>
        <v/>
      </c>
    </row>
    <row r="110" spans="5:12" x14ac:dyDescent="0.25">
      <c r="E110" s="11" t="str">
        <f>IF(D110="","",COUNTIF('Loot History'!$A:$A,D110))</f>
        <v/>
      </c>
      <c r="F110" s="11" t="str">
        <f>IF(D110="","",COUNTIFS('Loot History'!$A:$A,D110,'Loot History'!$G:$G,"BiS"))</f>
        <v/>
      </c>
      <c r="G110" s="11" t="str">
        <f>IF(D110="","",COUNTIFS('Loot History'!$A:$A,D110,'Loot History'!$G:$G,"2nd BiS"))</f>
        <v/>
      </c>
      <c r="H110" s="11" t="str">
        <f>IF(D110="","",COUNTIFS('Loot History'!$A:$A,D110,'Loot History'!$G:$G,"Upgrade"))</f>
        <v/>
      </c>
      <c r="I110" s="11" t="str">
        <f>IF(D110="","",COUNTIFS('Loot History'!$A:$A,D110,'Loot History'!$G:$G,"Offspecc"))</f>
        <v/>
      </c>
      <c r="J110" s="11" t="str">
        <f>IF(D110="","",COUNTIFS('Loot History'!$A:$A,D110,'Loot History'!$G:$G,"Passen"))</f>
        <v/>
      </c>
      <c r="K110" s="11" t="str">
        <f t="shared" si="4"/>
        <v/>
      </c>
      <c r="L110" t="str">
        <f>IF(D110="","",IFERROR(INDEX('Loot History'!$I:$I,MATCH(D110,'Loot History'!$A:$A,0)),""))</f>
        <v/>
      </c>
    </row>
    <row r="111" spans="5:12" x14ac:dyDescent="0.25">
      <c r="E111" s="11" t="str">
        <f>IF(D111="","",COUNTIF('Loot History'!$A:$A,D111))</f>
        <v/>
      </c>
      <c r="F111" s="11" t="str">
        <f>IF(D111="","",COUNTIFS('Loot History'!$A:$A,D111,'Loot History'!$G:$G,"BiS"))</f>
        <v/>
      </c>
      <c r="G111" s="11" t="str">
        <f>IF(D111="","",COUNTIFS('Loot History'!$A:$A,D111,'Loot History'!$G:$G,"2nd BiS"))</f>
        <v/>
      </c>
      <c r="H111" s="11" t="str">
        <f>IF(D111="","",COUNTIFS('Loot History'!$A:$A,D111,'Loot History'!$G:$G,"Upgrade"))</f>
        <v/>
      </c>
      <c r="I111" s="11" t="str">
        <f>IF(D111="","",COUNTIFS('Loot History'!$A:$A,D111,'Loot History'!$G:$G,"Offspecc"))</f>
        <v/>
      </c>
      <c r="J111" s="11" t="str">
        <f>IF(D111="","",COUNTIFS('Loot History'!$A:$A,D111,'Loot History'!$G:$G,"Passen"))</f>
        <v/>
      </c>
      <c r="K111" s="11" t="str">
        <f t="shared" si="4"/>
        <v/>
      </c>
      <c r="L111" t="str">
        <f>IF(D111="","",IFERROR(INDEX('Loot History'!$I:$I,MATCH(D111,'Loot History'!$A:$A,0)),""))</f>
        <v/>
      </c>
    </row>
    <row r="112" spans="5:12" x14ac:dyDescent="0.25">
      <c r="E112" s="11" t="str">
        <f>IF(D112="","",COUNTIF('Loot History'!$A:$A,D112))</f>
        <v/>
      </c>
      <c r="F112" s="11" t="str">
        <f>IF(D112="","",COUNTIFS('Loot History'!$A:$A,D112,'Loot History'!$G:$G,"BiS"))</f>
        <v/>
      </c>
      <c r="G112" s="11" t="str">
        <f>IF(D112="","",COUNTIFS('Loot History'!$A:$A,D112,'Loot History'!$G:$G,"2nd BiS"))</f>
        <v/>
      </c>
      <c r="H112" s="11" t="str">
        <f>IF(D112="","",COUNTIFS('Loot History'!$A:$A,D112,'Loot History'!$G:$G,"Upgrade"))</f>
        <v/>
      </c>
      <c r="I112" s="11" t="str">
        <f>IF(D112="","",COUNTIFS('Loot History'!$A:$A,D112,'Loot History'!$G:$G,"Offspecc"))</f>
        <v/>
      </c>
      <c r="J112" s="11" t="str">
        <f>IF(D112="","",COUNTIFS('Loot History'!$A:$A,D112,'Loot History'!$G:$G,"Passen"))</f>
        <v/>
      </c>
      <c r="K112" s="11" t="str">
        <f t="shared" si="4"/>
        <v/>
      </c>
      <c r="L112" t="str">
        <f>IF(D112="","",IFERROR(INDEX('Loot History'!$I:$I,MATCH(D112,'Loot History'!$A:$A,0)),""))</f>
        <v/>
      </c>
    </row>
    <row r="113" spans="5:12" x14ac:dyDescent="0.25">
      <c r="E113" s="11" t="str">
        <f>IF(D113="","",COUNTIF('Loot History'!$A:$A,D113))</f>
        <v/>
      </c>
      <c r="F113" s="11" t="str">
        <f>IF(D113="","",COUNTIFS('Loot History'!$A:$A,D113,'Loot History'!$G:$G,"BiS"))</f>
        <v/>
      </c>
      <c r="G113" s="11" t="str">
        <f>IF(D113="","",COUNTIFS('Loot History'!$A:$A,D113,'Loot History'!$G:$G,"2nd BiS"))</f>
        <v/>
      </c>
      <c r="H113" s="11" t="str">
        <f>IF(D113="","",COUNTIFS('Loot History'!$A:$A,D113,'Loot History'!$G:$G,"Upgrade"))</f>
        <v/>
      </c>
      <c r="I113" s="11" t="str">
        <f>IF(D113="","",COUNTIFS('Loot History'!$A:$A,D113,'Loot History'!$G:$G,"Offspecc"))</f>
        <v/>
      </c>
      <c r="J113" s="11" t="str">
        <f>IF(D113="","",COUNTIFS('Loot History'!$A:$A,D113,'Loot History'!$G:$G,"Passen"))</f>
        <v/>
      </c>
      <c r="K113" s="11" t="str">
        <f t="shared" si="4"/>
        <v/>
      </c>
      <c r="L113" t="str">
        <f>IF(D113="","",IFERROR(INDEX('Loot History'!$I:$I,MATCH(D113,'Loot History'!$A:$A,0)),""))</f>
        <v/>
      </c>
    </row>
    <row r="114" spans="5:12" x14ac:dyDescent="0.25">
      <c r="E114" s="11" t="str">
        <f>IF(D114="","",COUNTIF('Loot History'!$A:$A,D114))</f>
        <v/>
      </c>
      <c r="F114" s="11" t="str">
        <f>IF(D114="","",COUNTIFS('Loot History'!$A:$A,D114,'Loot History'!$G:$G,"BiS"))</f>
        <v/>
      </c>
      <c r="G114" s="11" t="str">
        <f>IF(D114="","",COUNTIFS('Loot History'!$A:$A,D114,'Loot History'!$G:$G,"2nd BiS"))</f>
        <v/>
      </c>
      <c r="H114" s="11" t="str">
        <f>IF(D114="","",COUNTIFS('Loot History'!$A:$A,D114,'Loot History'!$G:$G,"Upgrade"))</f>
        <v/>
      </c>
      <c r="I114" s="11" t="str">
        <f>IF(D114="","",COUNTIFS('Loot History'!$A:$A,D114,'Loot History'!$G:$G,"Offspecc"))</f>
        <v/>
      </c>
      <c r="J114" s="11" t="str">
        <f>IF(D114="","",COUNTIFS('Loot History'!$A:$A,D114,'Loot History'!$G:$G,"Passen"))</f>
        <v/>
      </c>
      <c r="K114" s="11" t="str">
        <f t="shared" si="4"/>
        <v/>
      </c>
      <c r="L114" t="str">
        <f>IF(D114="","",IFERROR(INDEX('Loot History'!$I:$I,MATCH(D114,'Loot History'!$A:$A,0)),""))</f>
        <v/>
      </c>
    </row>
    <row r="115" spans="5:12" x14ac:dyDescent="0.25">
      <c r="E115" s="11" t="str">
        <f>IF(D115="","",COUNTIF('Loot History'!$A:$A,D115))</f>
        <v/>
      </c>
      <c r="F115" s="11" t="str">
        <f>IF(D115="","",COUNTIFS('Loot History'!$A:$A,D115,'Loot History'!$G:$G,"BiS"))</f>
        <v/>
      </c>
      <c r="G115" s="11" t="str">
        <f>IF(D115="","",COUNTIFS('Loot History'!$A:$A,D115,'Loot History'!$G:$G,"2nd BiS"))</f>
        <v/>
      </c>
      <c r="H115" s="11" t="str">
        <f>IF(D115="","",COUNTIFS('Loot History'!$A:$A,D115,'Loot History'!$G:$G,"Upgrade"))</f>
        <v/>
      </c>
      <c r="I115" s="11" t="str">
        <f>IF(D115="","",COUNTIFS('Loot History'!$A:$A,D115,'Loot History'!$G:$G,"Offspecc"))</f>
        <v/>
      </c>
      <c r="J115" s="11" t="str">
        <f>IF(D115="","",COUNTIFS('Loot History'!$A:$A,D115,'Loot History'!$G:$G,"Passen"))</f>
        <v/>
      </c>
      <c r="K115" s="11" t="str">
        <f t="shared" si="4"/>
        <v/>
      </c>
      <c r="L115" t="str">
        <f>IF(D115="","",IFERROR(INDEX('Loot History'!$I:$I,MATCH(D115,'Loot History'!$A:$A,0)),""))</f>
        <v/>
      </c>
    </row>
    <row r="116" spans="5:12" x14ac:dyDescent="0.25">
      <c r="E116" s="11" t="str">
        <f>IF(D116="","",COUNTIF('Loot History'!$A:$A,D116))</f>
        <v/>
      </c>
      <c r="F116" s="11" t="str">
        <f>IF(D116="","",COUNTIFS('Loot History'!$A:$A,D116,'Loot History'!$G:$G,"BiS"))</f>
        <v/>
      </c>
      <c r="G116" s="11" t="str">
        <f>IF(D116="","",COUNTIFS('Loot History'!$A:$A,D116,'Loot History'!$G:$G,"2nd BiS"))</f>
        <v/>
      </c>
      <c r="H116" s="11" t="str">
        <f>IF(D116="","",COUNTIFS('Loot History'!$A:$A,D116,'Loot History'!$G:$G,"Upgrade"))</f>
        <v/>
      </c>
      <c r="I116" s="11" t="str">
        <f>IF(D116="","",COUNTIFS('Loot History'!$A:$A,D116,'Loot History'!$G:$G,"Offspecc"))</f>
        <v/>
      </c>
      <c r="J116" s="11" t="str">
        <f>IF(D116="","",COUNTIFS('Loot History'!$A:$A,D116,'Loot History'!$G:$G,"Passen"))</f>
        <v/>
      </c>
      <c r="K116" s="11" t="str">
        <f t="shared" si="4"/>
        <v/>
      </c>
      <c r="L116" t="str">
        <f>IF(D116="","",IFERROR(INDEX('Loot History'!$I:$I,MATCH(D116,'Loot History'!$A:$A,0)),""))</f>
        <v/>
      </c>
    </row>
    <row r="117" spans="5:12" x14ac:dyDescent="0.25">
      <c r="E117" s="11" t="str">
        <f>IF(D117="","",COUNTIF('Loot History'!$A:$A,D117))</f>
        <v/>
      </c>
      <c r="F117" s="11" t="str">
        <f>IF(D117="","",COUNTIFS('Loot History'!$A:$A,D117,'Loot History'!$G:$G,"BiS"))</f>
        <v/>
      </c>
      <c r="G117" s="11" t="str">
        <f>IF(D117="","",COUNTIFS('Loot History'!$A:$A,D117,'Loot History'!$G:$G,"2nd BiS"))</f>
        <v/>
      </c>
      <c r="H117" s="11" t="str">
        <f>IF(D117="","",COUNTIFS('Loot History'!$A:$A,D117,'Loot History'!$G:$G,"Upgrade"))</f>
        <v/>
      </c>
      <c r="I117" s="11" t="str">
        <f>IF(D117="","",COUNTIFS('Loot History'!$A:$A,D117,'Loot History'!$G:$G,"Offspecc"))</f>
        <v/>
      </c>
      <c r="J117" s="11" t="str">
        <f>IF(D117="","",COUNTIFS('Loot History'!$A:$A,D117,'Loot History'!$G:$G,"Passen"))</f>
        <v/>
      </c>
      <c r="K117" s="11" t="str">
        <f t="shared" si="4"/>
        <v/>
      </c>
      <c r="L117" t="str">
        <f>IF(D117="","",IFERROR(INDEX('Loot History'!$I:$I,MATCH(D117,'Loot History'!$A:$A,0)),""))</f>
        <v/>
      </c>
    </row>
    <row r="118" spans="5:12" x14ac:dyDescent="0.25">
      <c r="E118" s="11" t="str">
        <f>IF(D118="","",COUNTIF('Loot History'!$A:$A,D118))</f>
        <v/>
      </c>
      <c r="F118" s="11" t="str">
        <f>IF(D118="","",COUNTIFS('Loot History'!$A:$A,D118,'Loot History'!$G:$G,"BiS"))</f>
        <v/>
      </c>
      <c r="G118" s="11" t="str">
        <f>IF(D118="","",COUNTIFS('Loot History'!$A:$A,D118,'Loot History'!$G:$G,"2nd BiS"))</f>
        <v/>
      </c>
      <c r="H118" s="11" t="str">
        <f>IF(D118="","",COUNTIFS('Loot History'!$A:$A,D118,'Loot History'!$G:$G,"Upgrade"))</f>
        <v/>
      </c>
      <c r="I118" s="11" t="str">
        <f>IF(D118="","",COUNTIFS('Loot History'!$A:$A,D118,'Loot History'!$G:$G,"Offspecc"))</f>
        <v/>
      </c>
      <c r="J118" s="11" t="str">
        <f>IF(D118="","",COUNTIFS('Loot History'!$A:$A,D118,'Loot History'!$G:$G,"Passen"))</f>
        <v/>
      </c>
      <c r="K118" s="11" t="str">
        <f t="shared" si="4"/>
        <v/>
      </c>
      <c r="L118" t="str">
        <f>IF(D118="","",IFERROR(INDEX('Loot History'!$I:$I,MATCH(D118,'Loot History'!$A:$A,0)),""))</f>
        <v/>
      </c>
    </row>
    <row r="119" spans="5:12" x14ac:dyDescent="0.25">
      <c r="E119" s="11" t="str">
        <f>IF(D119="","",COUNTIF('Loot History'!$A:$A,D119))</f>
        <v/>
      </c>
      <c r="F119" s="11" t="str">
        <f>IF(D119="","",COUNTIFS('Loot History'!$A:$A,D119,'Loot History'!$G:$G,"BiS"))</f>
        <v/>
      </c>
      <c r="G119" s="11" t="str">
        <f>IF(D119="","",COUNTIFS('Loot History'!$A:$A,D119,'Loot History'!$G:$G,"2nd BiS"))</f>
        <v/>
      </c>
      <c r="H119" s="11" t="str">
        <f>IF(D119="","",COUNTIFS('Loot History'!$A:$A,D119,'Loot History'!$G:$G,"Upgrade"))</f>
        <v/>
      </c>
      <c r="I119" s="11" t="str">
        <f>IF(D119="","",COUNTIFS('Loot History'!$A:$A,D119,'Loot History'!$G:$G,"Offspecc"))</f>
        <v/>
      </c>
      <c r="J119" s="11" t="str">
        <f>IF(D119="","",COUNTIFS('Loot History'!$A:$A,D119,'Loot History'!$G:$G,"Passen"))</f>
        <v/>
      </c>
      <c r="K119" s="11" t="str">
        <f t="shared" si="4"/>
        <v/>
      </c>
      <c r="L119" t="str">
        <f>IF(D119="","",IFERROR(INDEX('Loot History'!$I:$I,MATCH(D119,'Loot History'!$A:$A,0)),""))</f>
        <v/>
      </c>
    </row>
    <row r="120" spans="5:12" x14ac:dyDescent="0.25">
      <c r="E120" s="11" t="str">
        <f>IF(D120="","",COUNTIF('Loot History'!$A:$A,D120))</f>
        <v/>
      </c>
      <c r="F120" s="11" t="str">
        <f>IF(D120="","",COUNTIFS('Loot History'!$A:$A,D120,'Loot History'!$G:$G,"BiS"))</f>
        <v/>
      </c>
      <c r="G120" s="11" t="str">
        <f>IF(D120="","",COUNTIFS('Loot History'!$A:$A,D120,'Loot History'!$G:$G,"2nd BiS"))</f>
        <v/>
      </c>
      <c r="H120" s="11" t="str">
        <f>IF(D120="","",COUNTIFS('Loot History'!$A:$A,D120,'Loot History'!$G:$G,"Upgrade"))</f>
        <v/>
      </c>
      <c r="I120" s="11" t="str">
        <f>IF(D120="","",COUNTIFS('Loot History'!$A:$A,D120,'Loot History'!$G:$G,"Offspecc"))</f>
        <v/>
      </c>
      <c r="J120" s="11" t="str">
        <f>IF(D120="","",COUNTIFS('Loot History'!$A:$A,D120,'Loot History'!$G:$G,"Passen"))</f>
        <v/>
      </c>
      <c r="K120" s="11" t="str">
        <f t="shared" si="4"/>
        <v/>
      </c>
      <c r="L120" t="str">
        <f>IF(D120="","",IFERROR(INDEX('Loot History'!$I:$I,MATCH(D120,'Loot History'!$A:$A,0)),""))</f>
        <v/>
      </c>
    </row>
    <row r="121" spans="5:12" x14ac:dyDescent="0.25">
      <c r="E121" s="11" t="str">
        <f>IF(D121="","",COUNTIF('Loot History'!$A:$A,D121))</f>
        <v/>
      </c>
      <c r="F121" s="11" t="str">
        <f>IF(D121="","",COUNTIFS('Loot History'!$A:$A,D121,'Loot History'!$G:$G,"BiS"))</f>
        <v/>
      </c>
      <c r="G121" s="11" t="str">
        <f>IF(D121="","",COUNTIFS('Loot History'!$A:$A,D121,'Loot History'!$G:$G,"2nd BiS"))</f>
        <v/>
      </c>
      <c r="H121" s="11" t="str">
        <f>IF(D121="","",COUNTIFS('Loot History'!$A:$A,D121,'Loot History'!$G:$G,"Upgrade"))</f>
        <v/>
      </c>
      <c r="I121" s="11" t="str">
        <f>IF(D121="","",COUNTIFS('Loot History'!$A:$A,D121,'Loot History'!$G:$G,"Offspecc"))</f>
        <v/>
      </c>
      <c r="J121" s="11" t="str">
        <f>IF(D121="","",COUNTIFS('Loot History'!$A:$A,D121,'Loot History'!$G:$G,"Passen"))</f>
        <v/>
      </c>
      <c r="K121" s="11" t="str">
        <f t="shared" si="4"/>
        <v/>
      </c>
      <c r="L121" t="str">
        <f>IF(D121="","",IFERROR(INDEX('Loot History'!$I:$I,MATCH(D121,'Loot History'!$A:$A,0)),""))</f>
        <v/>
      </c>
    </row>
    <row r="122" spans="5:12" x14ac:dyDescent="0.25">
      <c r="E122" s="11" t="str">
        <f>IF(D122="","",COUNTIF('Loot History'!$A:$A,D122))</f>
        <v/>
      </c>
      <c r="F122" s="11" t="str">
        <f>IF(D122="","",COUNTIFS('Loot History'!$A:$A,D122,'Loot History'!$G:$G,"BiS"))</f>
        <v/>
      </c>
      <c r="G122" s="11" t="str">
        <f>IF(D122="","",COUNTIFS('Loot History'!$A:$A,D122,'Loot History'!$G:$G,"2nd BiS"))</f>
        <v/>
      </c>
      <c r="H122" s="11" t="str">
        <f>IF(D122="","",COUNTIFS('Loot History'!$A:$A,D122,'Loot History'!$G:$G,"Upgrade"))</f>
        <v/>
      </c>
      <c r="I122" s="11" t="str">
        <f>IF(D122="","",COUNTIFS('Loot History'!$A:$A,D122,'Loot History'!$G:$G,"Offspecc"))</f>
        <v/>
      </c>
      <c r="J122" s="11" t="str">
        <f>IF(D122="","",COUNTIFS('Loot History'!$A:$A,D122,'Loot History'!$G:$G,"Passen"))</f>
        <v/>
      </c>
      <c r="K122" s="11" t="str">
        <f t="shared" si="4"/>
        <v/>
      </c>
      <c r="L122" t="str">
        <f>IF(D122="","",IFERROR(INDEX('Loot History'!$I:$I,MATCH(D122,'Loot History'!$A:$A,0)),""))</f>
        <v/>
      </c>
    </row>
    <row r="123" spans="5:12" x14ac:dyDescent="0.25">
      <c r="E123" s="11" t="str">
        <f>IF(D123="","",COUNTIF('Loot History'!$A:$A,D123))</f>
        <v/>
      </c>
      <c r="F123" s="11" t="str">
        <f>IF(D123="","",COUNTIFS('Loot History'!$A:$A,D123,'Loot History'!$G:$G,"BiS"))</f>
        <v/>
      </c>
      <c r="G123" s="11" t="str">
        <f>IF(D123="","",COUNTIFS('Loot History'!$A:$A,D123,'Loot History'!$G:$G,"2nd BiS"))</f>
        <v/>
      </c>
      <c r="H123" s="11" t="str">
        <f>IF(D123="","",COUNTIFS('Loot History'!$A:$A,D123,'Loot History'!$G:$G,"Upgrade"))</f>
        <v/>
      </c>
      <c r="I123" s="11" t="str">
        <f>IF(D123="","",COUNTIFS('Loot History'!$A:$A,D123,'Loot History'!$G:$G,"Offspecc"))</f>
        <v/>
      </c>
      <c r="J123" s="11" t="str">
        <f>IF(D123="","",COUNTIFS('Loot History'!$A:$A,D123,'Loot History'!$G:$G,"Passen"))</f>
        <v/>
      </c>
      <c r="K123" s="11" t="str">
        <f t="shared" si="4"/>
        <v/>
      </c>
      <c r="L123" t="str">
        <f>IF(D123="","",IFERROR(INDEX('Loot History'!$I:$I,MATCH(D123,'Loot History'!$A:$A,0)),""))</f>
        <v/>
      </c>
    </row>
    <row r="124" spans="5:12" x14ac:dyDescent="0.25">
      <c r="E124" s="11" t="str">
        <f>IF(D124="","",COUNTIF('Loot History'!$A:$A,D124))</f>
        <v/>
      </c>
      <c r="F124" s="11" t="str">
        <f>IF(D124="","",COUNTIFS('Loot History'!$A:$A,D124,'Loot History'!$G:$G,"BiS"))</f>
        <v/>
      </c>
      <c r="G124" s="11" t="str">
        <f>IF(D124="","",COUNTIFS('Loot History'!$A:$A,D124,'Loot History'!$G:$G,"2nd BiS"))</f>
        <v/>
      </c>
      <c r="H124" s="11" t="str">
        <f>IF(D124="","",COUNTIFS('Loot History'!$A:$A,D124,'Loot History'!$G:$G,"Upgrade"))</f>
        <v/>
      </c>
      <c r="I124" s="11" t="str">
        <f>IF(D124="","",COUNTIFS('Loot History'!$A:$A,D124,'Loot History'!$G:$G,"Offspecc"))</f>
        <v/>
      </c>
      <c r="J124" s="11" t="str">
        <f>IF(D124="","",COUNTIFS('Loot History'!$A:$A,D124,'Loot History'!$G:$G,"Passen"))</f>
        <v/>
      </c>
      <c r="K124" s="11" t="str">
        <f t="shared" si="4"/>
        <v/>
      </c>
      <c r="L124" t="str">
        <f>IF(D124="","",IFERROR(INDEX('Loot History'!$I:$I,MATCH(D124,'Loot History'!$A:$A,0)),""))</f>
        <v/>
      </c>
    </row>
    <row r="125" spans="5:12" x14ac:dyDescent="0.25">
      <c r="E125" s="11" t="str">
        <f>IF(D125="","",COUNTIF('Loot History'!$A:$A,D125))</f>
        <v/>
      </c>
      <c r="F125" s="11" t="str">
        <f>IF(D125="","",COUNTIFS('Loot History'!$A:$A,D125,'Loot History'!$G:$G,"BiS"))</f>
        <v/>
      </c>
      <c r="G125" s="11" t="str">
        <f>IF(D125="","",COUNTIFS('Loot History'!$A:$A,D125,'Loot History'!$G:$G,"2nd BiS"))</f>
        <v/>
      </c>
      <c r="H125" s="11" t="str">
        <f>IF(D125="","",COUNTIFS('Loot History'!$A:$A,D125,'Loot History'!$G:$G,"Upgrade"))</f>
        <v/>
      </c>
      <c r="I125" s="11" t="str">
        <f>IF(D125="","",COUNTIFS('Loot History'!$A:$A,D125,'Loot History'!$G:$G,"Offspecc"))</f>
        <v/>
      </c>
      <c r="J125" s="11" t="str">
        <f>IF(D125="","",COUNTIFS('Loot History'!$A:$A,D125,'Loot History'!$G:$G,"Passen"))</f>
        <v/>
      </c>
      <c r="K125" s="11" t="str">
        <f t="shared" si="4"/>
        <v/>
      </c>
      <c r="L125" t="str">
        <f>IF(D125="","",IFERROR(INDEX('Loot History'!$I:$I,MATCH(D125,'Loot History'!$A:$A,0)),""))</f>
        <v/>
      </c>
    </row>
    <row r="126" spans="5:12" x14ac:dyDescent="0.25">
      <c r="E126" s="11" t="str">
        <f>IF(D126="","",COUNTIF('Loot History'!$A:$A,D126))</f>
        <v/>
      </c>
      <c r="F126" s="11" t="str">
        <f>IF(D126="","",COUNTIFS('Loot History'!$A:$A,D126,'Loot History'!$G:$G,"BiS"))</f>
        <v/>
      </c>
      <c r="G126" s="11" t="str">
        <f>IF(D126="","",COUNTIFS('Loot History'!$A:$A,D126,'Loot History'!$G:$G,"2nd BiS"))</f>
        <v/>
      </c>
      <c r="H126" s="11" t="str">
        <f>IF(D126="","",COUNTIFS('Loot History'!$A:$A,D126,'Loot History'!$G:$G,"Upgrade"))</f>
        <v/>
      </c>
      <c r="I126" s="11" t="str">
        <f>IF(D126="","",COUNTIFS('Loot History'!$A:$A,D126,'Loot History'!$G:$G,"Offspecc"))</f>
        <v/>
      </c>
      <c r="J126" s="11" t="str">
        <f>IF(D126="","",COUNTIFS('Loot History'!$A:$A,D126,'Loot History'!$G:$G,"Passen"))</f>
        <v/>
      </c>
      <c r="K126" s="11" t="str">
        <f t="shared" si="4"/>
        <v/>
      </c>
      <c r="L126" t="str">
        <f>IF(D126="","",IFERROR(INDEX('Loot History'!$I:$I,MATCH(D126,'Loot History'!$A:$A,0)),""))</f>
        <v/>
      </c>
    </row>
    <row r="127" spans="5:12" x14ac:dyDescent="0.25">
      <c r="E127" s="11" t="str">
        <f>IF(D127="","",COUNTIF('Loot History'!$A:$A,D127))</f>
        <v/>
      </c>
      <c r="F127" s="11" t="str">
        <f>IF(D127="","",COUNTIFS('Loot History'!$A:$A,D127,'Loot History'!$G:$G,"BiS"))</f>
        <v/>
      </c>
      <c r="G127" s="11" t="str">
        <f>IF(D127="","",COUNTIFS('Loot History'!$A:$A,D127,'Loot History'!$G:$G,"2nd BiS"))</f>
        <v/>
      </c>
      <c r="H127" s="11" t="str">
        <f>IF(D127="","",COUNTIFS('Loot History'!$A:$A,D127,'Loot History'!$G:$G,"Upgrade"))</f>
        <v/>
      </c>
      <c r="I127" s="11" t="str">
        <f>IF(D127="","",COUNTIFS('Loot History'!$A:$A,D127,'Loot History'!$G:$G,"Offspecc"))</f>
        <v/>
      </c>
      <c r="J127" s="11" t="str">
        <f>IF(D127="","",COUNTIFS('Loot History'!$A:$A,D127,'Loot History'!$G:$G,"Passen"))</f>
        <v/>
      </c>
      <c r="K127" s="11" t="str">
        <f t="shared" si="4"/>
        <v/>
      </c>
      <c r="L127" t="str">
        <f>IF(D127="","",IFERROR(INDEX('Loot History'!$I:$I,MATCH(D127,'Loot History'!$A:$A,0)),""))</f>
        <v/>
      </c>
    </row>
    <row r="128" spans="5:12" x14ac:dyDescent="0.25">
      <c r="E128" s="11" t="str">
        <f>IF(D128="","",COUNTIF('Loot History'!$A:$A,D128))</f>
        <v/>
      </c>
      <c r="F128" s="11" t="str">
        <f>IF(D128="","",COUNTIFS('Loot History'!$A:$A,D128,'Loot History'!$G:$G,"BiS"))</f>
        <v/>
      </c>
      <c r="G128" s="11" t="str">
        <f>IF(D128="","",COUNTIFS('Loot History'!$A:$A,D128,'Loot History'!$G:$G,"2nd BiS"))</f>
        <v/>
      </c>
      <c r="H128" s="11" t="str">
        <f>IF(D128="","",COUNTIFS('Loot History'!$A:$A,D128,'Loot History'!$G:$G,"Upgrade"))</f>
        <v/>
      </c>
      <c r="I128" s="11" t="str">
        <f>IF(D128="","",COUNTIFS('Loot History'!$A:$A,D128,'Loot History'!$G:$G,"Offspecc"))</f>
        <v/>
      </c>
      <c r="J128" s="11" t="str">
        <f>IF(D128="","",COUNTIFS('Loot History'!$A:$A,D128,'Loot History'!$G:$G,"Passen"))</f>
        <v/>
      </c>
      <c r="K128" s="11" t="str">
        <f t="shared" si="4"/>
        <v/>
      </c>
      <c r="L128" t="str">
        <f>IF(D128="","",IFERROR(INDEX('Loot History'!$I:$I,MATCH(D128,'Loot History'!$A:$A,0)),""))</f>
        <v/>
      </c>
    </row>
    <row r="129" spans="5:12" x14ac:dyDescent="0.25">
      <c r="E129" s="11" t="str">
        <f>IF(D129="","",COUNTIF('Loot History'!$A:$A,D129))</f>
        <v/>
      </c>
      <c r="F129" s="11" t="str">
        <f>IF(D129="","",COUNTIFS('Loot History'!$A:$A,D129,'Loot History'!$G:$G,"BiS"))</f>
        <v/>
      </c>
      <c r="G129" s="11" t="str">
        <f>IF(D129="","",COUNTIFS('Loot History'!$A:$A,D129,'Loot History'!$G:$G,"2nd BiS"))</f>
        <v/>
      </c>
      <c r="H129" s="11" t="str">
        <f>IF(D129="","",COUNTIFS('Loot History'!$A:$A,D129,'Loot History'!$G:$G,"Upgrade"))</f>
        <v/>
      </c>
      <c r="I129" s="11" t="str">
        <f>IF(D129="","",COUNTIFS('Loot History'!$A:$A,D129,'Loot History'!$G:$G,"Offspecc"))</f>
        <v/>
      </c>
      <c r="J129" s="11" t="str">
        <f>IF(D129="","",COUNTIFS('Loot History'!$A:$A,D129,'Loot History'!$G:$G,"Passen"))</f>
        <v/>
      </c>
      <c r="K129" s="11" t="str">
        <f t="shared" si="4"/>
        <v/>
      </c>
      <c r="L129" t="str">
        <f>IF(D129="","",IFERROR(INDEX('Loot History'!$I:$I,MATCH(D129,'Loot History'!$A:$A,0)),""))</f>
        <v/>
      </c>
    </row>
    <row r="130" spans="5:12" x14ac:dyDescent="0.25">
      <c r="E130" s="11" t="str">
        <f>IF(D130="","",COUNTIF('Loot History'!$A:$A,D130))</f>
        <v/>
      </c>
      <c r="F130" s="11" t="str">
        <f>IF(D130="","",COUNTIFS('Loot History'!$A:$A,D130,'Loot History'!$G:$G,"BiS"))</f>
        <v/>
      </c>
      <c r="G130" s="11" t="str">
        <f>IF(D130="","",COUNTIFS('Loot History'!$A:$A,D130,'Loot History'!$G:$G,"2nd BiS"))</f>
        <v/>
      </c>
      <c r="H130" s="11" t="str">
        <f>IF(D130="","",COUNTIFS('Loot History'!$A:$A,D130,'Loot History'!$G:$G,"Upgrade"))</f>
        <v/>
      </c>
      <c r="I130" s="11" t="str">
        <f>IF(D130="","",COUNTIFS('Loot History'!$A:$A,D130,'Loot History'!$G:$G,"Offspecc"))</f>
        <v/>
      </c>
      <c r="J130" s="11" t="str">
        <f>IF(D130="","",COUNTIFS('Loot History'!$A:$A,D130,'Loot History'!$G:$G,"Passen"))</f>
        <v/>
      </c>
      <c r="K130" s="11" t="str">
        <f t="shared" si="4"/>
        <v/>
      </c>
      <c r="L130" t="str">
        <f>IF(D130="","",IFERROR(INDEX('Loot History'!$I:$I,MATCH(D130,'Loot History'!$A:$A,0)),""))</f>
        <v/>
      </c>
    </row>
    <row r="131" spans="5:12" x14ac:dyDescent="0.25">
      <c r="E131" s="11" t="str">
        <f>IF(D131="","",COUNTIF('Loot History'!$A:$A,D131))</f>
        <v/>
      </c>
      <c r="F131" s="11" t="str">
        <f>IF(D131="","",COUNTIFS('Loot History'!$A:$A,D131,'Loot History'!$G:$G,"BiS"))</f>
        <v/>
      </c>
      <c r="G131" s="11" t="str">
        <f>IF(D131="","",COUNTIFS('Loot History'!$A:$A,D131,'Loot History'!$G:$G,"2nd BiS"))</f>
        <v/>
      </c>
      <c r="H131" s="11" t="str">
        <f>IF(D131="","",COUNTIFS('Loot History'!$A:$A,D131,'Loot History'!$G:$G,"Upgrade"))</f>
        <v/>
      </c>
      <c r="I131" s="11" t="str">
        <f>IF(D131="","",COUNTIFS('Loot History'!$A:$A,D131,'Loot History'!$G:$G,"Offspecc"))</f>
        <v/>
      </c>
      <c r="J131" s="11" t="str">
        <f>IF(D131="","",COUNTIFS('Loot History'!$A:$A,D131,'Loot History'!$G:$G,"Passen"))</f>
        <v/>
      </c>
      <c r="K131" s="11" t="str">
        <f t="shared" si="4"/>
        <v/>
      </c>
      <c r="L131" t="str">
        <f>IF(D131="","",IFERROR(INDEX('Loot History'!$I:$I,MATCH(D131,'Loot History'!$A:$A,0)),""))</f>
        <v/>
      </c>
    </row>
    <row r="132" spans="5:12" x14ac:dyDescent="0.25">
      <c r="E132" s="11" t="str">
        <f>IF(D132="","",COUNTIF('Loot History'!$A:$A,D132))</f>
        <v/>
      </c>
      <c r="F132" s="11" t="str">
        <f>IF(D132="","",COUNTIFS('Loot History'!$A:$A,D132,'Loot History'!$G:$G,"BiS"))</f>
        <v/>
      </c>
      <c r="G132" s="11" t="str">
        <f>IF(D132="","",COUNTIFS('Loot History'!$A:$A,D132,'Loot History'!$G:$G,"2nd BiS"))</f>
        <v/>
      </c>
      <c r="H132" s="11" t="str">
        <f>IF(D132="","",COUNTIFS('Loot History'!$A:$A,D132,'Loot History'!$G:$G,"Upgrade"))</f>
        <v/>
      </c>
      <c r="I132" s="11" t="str">
        <f>IF(D132="","",COUNTIFS('Loot History'!$A:$A,D132,'Loot History'!$G:$G,"Offspecc"))</f>
        <v/>
      </c>
      <c r="J132" s="11" t="str">
        <f>IF(D132="","",COUNTIFS('Loot History'!$A:$A,D132,'Loot History'!$G:$G,"Passen"))</f>
        <v/>
      </c>
      <c r="K132" s="11" t="str">
        <f t="shared" si="4"/>
        <v/>
      </c>
      <c r="L132" t="str">
        <f>IF(D132="","",IFERROR(INDEX('Loot History'!$I:$I,MATCH(D132,'Loot History'!$A:$A,0)),""))</f>
        <v/>
      </c>
    </row>
    <row r="133" spans="5:12" x14ac:dyDescent="0.25">
      <c r="E133" s="11" t="str">
        <f>IF(D133="","",COUNTIF('Loot History'!$A:$A,D133))</f>
        <v/>
      </c>
      <c r="F133" s="11" t="str">
        <f>IF(D133="","",COUNTIFS('Loot History'!$A:$A,D133,'Loot History'!$G:$G,"BiS"))</f>
        <v/>
      </c>
      <c r="G133" s="11" t="str">
        <f>IF(D133="","",COUNTIFS('Loot History'!$A:$A,D133,'Loot History'!$G:$G,"2nd BiS"))</f>
        <v/>
      </c>
      <c r="H133" s="11" t="str">
        <f>IF(D133="","",COUNTIFS('Loot History'!$A:$A,D133,'Loot History'!$G:$G,"Upgrade"))</f>
        <v/>
      </c>
      <c r="I133" s="11" t="str">
        <f>IF(D133="","",COUNTIFS('Loot History'!$A:$A,D133,'Loot History'!$G:$G,"Offspecc"))</f>
        <v/>
      </c>
      <c r="J133" s="11" t="str">
        <f>IF(D133="","",COUNTIFS('Loot History'!$A:$A,D133,'Loot History'!$G:$G,"Passen"))</f>
        <v/>
      </c>
      <c r="K133" s="11" t="str">
        <f t="shared" si="4"/>
        <v/>
      </c>
      <c r="L133" t="str">
        <f>IF(D133="","",IFERROR(INDEX('Loot History'!$I:$I,MATCH(D133,'Loot History'!$A:$A,0)),""))</f>
        <v/>
      </c>
    </row>
    <row r="134" spans="5:12" x14ac:dyDescent="0.25">
      <c r="E134" s="11" t="str">
        <f>IF(D134="","",COUNTIF('Loot History'!$A:$A,D134))</f>
        <v/>
      </c>
      <c r="F134" s="11" t="str">
        <f>IF(D134="","",COUNTIFS('Loot History'!$A:$A,D134,'Loot History'!$G:$G,"BiS"))</f>
        <v/>
      </c>
      <c r="G134" s="11" t="str">
        <f>IF(D134="","",COUNTIFS('Loot History'!$A:$A,D134,'Loot History'!$G:$G,"2nd BiS"))</f>
        <v/>
      </c>
      <c r="H134" s="11" t="str">
        <f>IF(D134="","",COUNTIFS('Loot History'!$A:$A,D134,'Loot History'!$G:$G,"Upgrade"))</f>
        <v/>
      </c>
      <c r="I134" s="11" t="str">
        <f>IF(D134="","",COUNTIFS('Loot History'!$A:$A,D134,'Loot History'!$G:$G,"Offspecc"))</f>
        <v/>
      </c>
      <c r="J134" s="11" t="str">
        <f>IF(D134="","",COUNTIFS('Loot History'!$A:$A,D134,'Loot History'!$G:$G,"Passen"))</f>
        <v/>
      </c>
      <c r="K134" s="11" t="str">
        <f t="shared" si="4"/>
        <v/>
      </c>
      <c r="L134" t="str">
        <f>IF(D134="","",IFERROR(INDEX('Loot History'!$I:$I,MATCH(D134,'Loot History'!$A:$A,0)),""))</f>
        <v/>
      </c>
    </row>
    <row r="135" spans="5:12" x14ac:dyDescent="0.25">
      <c r="E135" s="11" t="str">
        <f>IF(D135="","",COUNTIF('Loot History'!$A:$A,D135))</f>
        <v/>
      </c>
      <c r="F135" s="11" t="str">
        <f>IF(D135="","",COUNTIFS('Loot History'!$A:$A,D135,'Loot History'!$G:$G,"BiS"))</f>
        <v/>
      </c>
      <c r="G135" s="11" t="str">
        <f>IF(D135="","",COUNTIFS('Loot History'!$A:$A,D135,'Loot History'!$G:$G,"2nd BiS"))</f>
        <v/>
      </c>
      <c r="H135" s="11" t="str">
        <f>IF(D135="","",COUNTIFS('Loot History'!$A:$A,D135,'Loot History'!$G:$G,"Upgrade"))</f>
        <v/>
      </c>
      <c r="I135" s="11" t="str">
        <f>IF(D135="","",COUNTIFS('Loot History'!$A:$A,D135,'Loot History'!$G:$G,"Offspecc"))</f>
        <v/>
      </c>
      <c r="J135" s="11" t="str">
        <f>IF(D135="","",COUNTIFS('Loot History'!$A:$A,D135,'Loot History'!$G:$G,"Passen"))</f>
        <v/>
      </c>
      <c r="K135" s="11" t="str">
        <f t="shared" si="4"/>
        <v/>
      </c>
      <c r="L135" t="str">
        <f>IF(D135="","",IFERROR(INDEX('Loot History'!$I:$I,MATCH(D135,'Loot History'!$A:$A,0)),""))</f>
        <v/>
      </c>
    </row>
    <row r="136" spans="5:12" x14ac:dyDescent="0.25">
      <c r="E136" s="11" t="str">
        <f>IF(D136="","",COUNTIF('Loot History'!$A:$A,D136))</f>
        <v/>
      </c>
      <c r="F136" s="11" t="str">
        <f>IF(D136="","",COUNTIFS('Loot History'!$A:$A,D136,'Loot History'!$G:$G,"BiS"))</f>
        <v/>
      </c>
      <c r="G136" s="11" t="str">
        <f>IF(D136="","",COUNTIFS('Loot History'!$A:$A,D136,'Loot History'!$G:$G,"2nd BiS"))</f>
        <v/>
      </c>
      <c r="H136" s="11" t="str">
        <f>IF(D136="","",COUNTIFS('Loot History'!$A:$A,D136,'Loot History'!$G:$G,"Upgrade"))</f>
        <v/>
      </c>
      <c r="I136" s="11" t="str">
        <f>IF(D136="","",COUNTIFS('Loot History'!$A:$A,D136,'Loot History'!$G:$G,"Offspecc"))</f>
        <v/>
      </c>
      <c r="J136" s="11" t="str">
        <f>IF(D136="","",COUNTIFS('Loot History'!$A:$A,D136,'Loot History'!$G:$G,"Passen"))</f>
        <v/>
      </c>
      <c r="K136" s="11" t="str">
        <f t="shared" si="4"/>
        <v/>
      </c>
      <c r="L136" t="str">
        <f>IF(D136="","",IFERROR(INDEX('Loot History'!$I:$I,MATCH(D136,'Loot History'!$A:$A,0)),""))</f>
        <v/>
      </c>
    </row>
    <row r="137" spans="5:12" x14ac:dyDescent="0.25">
      <c r="E137" s="11" t="str">
        <f>IF(D137="","",COUNTIF('Loot History'!$A:$A,D137))</f>
        <v/>
      </c>
      <c r="F137" s="11" t="str">
        <f>IF(D137="","",COUNTIFS('Loot History'!$A:$A,D137,'Loot History'!$G:$G,"BiS"))</f>
        <v/>
      </c>
      <c r="G137" s="11" t="str">
        <f>IF(D137="","",COUNTIFS('Loot History'!$A:$A,D137,'Loot History'!$G:$G,"2nd BiS"))</f>
        <v/>
      </c>
      <c r="H137" s="11" t="str">
        <f>IF(D137="","",COUNTIFS('Loot History'!$A:$A,D137,'Loot History'!$G:$G,"Upgrade"))</f>
        <v/>
      </c>
      <c r="I137" s="11" t="str">
        <f>IF(D137="","",COUNTIFS('Loot History'!$A:$A,D137,'Loot History'!$G:$G,"Offspecc"))</f>
        <v/>
      </c>
      <c r="J137" s="11" t="str">
        <f>IF(D137="","",COUNTIFS('Loot History'!$A:$A,D137,'Loot History'!$G:$G,"Passen"))</f>
        <v/>
      </c>
      <c r="K137" s="11" t="str">
        <f t="shared" si="4"/>
        <v/>
      </c>
      <c r="L137" t="str">
        <f>IF(D137="","",IFERROR(INDEX('Loot History'!$I:$I,MATCH(D137,'Loot History'!$A:$A,0)),""))</f>
        <v/>
      </c>
    </row>
    <row r="138" spans="5:12" x14ac:dyDescent="0.25">
      <c r="E138" s="11" t="str">
        <f>IF(D138="","",COUNTIF('Loot History'!$A:$A,D138))</f>
        <v/>
      </c>
      <c r="F138" s="11" t="str">
        <f>IF(D138="","",COUNTIFS('Loot History'!$A:$A,D138,'Loot History'!$G:$G,"BiS"))</f>
        <v/>
      </c>
      <c r="G138" s="11" t="str">
        <f>IF(D138="","",COUNTIFS('Loot History'!$A:$A,D138,'Loot History'!$G:$G,"2nd BiS"))</f>
        <v/>
      </c>
      <c r="H138" s="11" t="str">
        <f>IF(D138="","",COUNTIFS('Loot History'!$A:$A,D138,'Loot History'!$G:$G,"Upgrade"))</f>
        <v/>
      </c>
      <c r="I138" s="11" t="str">
        <f>IF(D138="","",COUNTIFS('Loot History'!$A:$A,D138,'Loot History'!$G:$G,"Offspecc"))</f>
        <v/>
      </c>
      <c r="J138" s="11" t="str">
        <f>IF(D138="","",COUNTIFS('Loot History'!$A:$A,D138,'Loot History'!$G:$G,"Passen"))</f>
        <v/>
      </c>
      <c r="K138" s="11" t="str">
        <f t="shared" si="4"/>
        <v/>
      </c>
      <c r="L138" t="str">
        <f>IF(D138="","",IFERROR(INDEX('Loot History'!$I:$I,MATCH(D138,'Loot History'!$A:$A,0)),""))</f>
        <v/>
      </c>
    </row>
    <row r="139" spans="5:12" x14ac:dyDescent="0.25">
      <c r="E139" s="11" t="str">
        <f>IF(D139="","",COUNTIF('Loot History'!$A:$A,D139))</f>
        <v/>
      </c>
      <c r="F139" s="11" t="str">
        <f>IF(D139="","",COUNTIFS('Loot History'!$A:$A,D139,'Loot History'!$G:$G,"BiS"))</f>
        <v/>
      </c>
      <c r="G139" s="11" t="str">
        <f>IF(D139="","",COUNTIFS('Loot History'!$A:$A,D139,'Loot History'!$G:$G,"2nd BiS"))</f>
        <v/>
      </c>
      <c r="H139" s="11" t="str">
        <f>IF(D139="","",COUNTIFS('Loot History'!$A:$A,D139,'Loot History'!$G:$G,"Upgrade"))</f>
        <v/>
      </c>
      <c r="I139" s="11" t="str">
        <f>IF(D139="","",COUNTIFS('Loot History'!$A:$A,D139,'Loot History'!$G:$G,"Offspecc"))</f>
        <v/>
      </c>
      <c r="J139" s="11" t="str">
        <f>IF(D139="","",COUNTIFS('Loot History'!$A:$A,D139,'Loot History'!$G:$G,"Passen"))</f>
        <v/>
      </c>
      <c r="K139" s="11" t="str">
        <f t="shared" si="4"/>
        <v/>
      </c>
      <c r="L139" t="str">
        <f>IF(D139="","",IFERROR(INDEX('Loot History'!$I:$I,MATCH(D139,'Loot History'!$A:$A,0)),""))</f>
        <v/>
      </c>
    </row>
    <row r="140" spans="5:12" x14ac:dyDescent="0.25">
      <c r="E140" s="11" t="str">
        <f>IF(D140="","",COUNTIF('Loot History'!$A:$A,D140))</f>
        <v/>
      </c>
      <c r="F140" s="11" t="str">
        <f>IF(D140="","",COUNTIFS('Loot History'!$A:$A,D140,'Loot History'!$G:$G,"BiS"))</f>
        <v/>
      </c>
      <c r="G140" s="11" t="str">
        <f>IF(D140="","",COUNTIFS('Loot History'!$A:$A,D140,'Loot History'!$G:$G,"2nd BiS"))</f>
        <v/>
      </c>
      <c r="H140" s="11" t="str">
        <f>IF(D140="","",COUNTIFS('Loot History'!$A:$A,D140,'Loot History'!$G:$G,"Upgrade"))</f>
        <v/>
      </c>
      <c r="I140" s="11" t="str">
        <f>IF(D140="","",COUNTIFS('Loot History'!$A:$A,D140,'Loot History'!$G:$G,"Offspecc"))</f>
        <v/>
      </c>
      <c r="J140" s="11" t="str">
        <f>IF(D140="","",COUNTIFS('Loot History'!$A:$A,D140,'Loot History'!$G:$G,"Passen"))</f>
        <v/>
      </c>
      <c r="K140" s="11" t="str">
        <f t="shared" si="4"/>
        <v/>
      </c>
      <c r="L140" t="str">
        <f>IF(D140="","",IFERROR(INDEX('Loot History'!$I:$I,MATCH(D140,'Loot History'!$A:$A,0)),""))</f>
        <v/>
      </c>
    </row>
    <row r="141" spans="5:12" x14ac:dyDescent="0.25">
      <c r="E141" s="11" t="str">
        <f>IF(D141="","",COUNTIF('Loot History'!$A:$A,D141))</f>
        <v/>
      </c>
      <c r="F141" s="11" t="str">
        <f>IF(D141="","",COUNTIFS('Loot History'!$A:$A,D141,'Loot History'!$G:$G,"BiS"))</f>
        <v/>
      </c>
      <c r="G141" s="11" t="str">
        <f>IF(D141="","",COUNTIFS('Loot History'!$A:$A,D141,'Loot History'!$G:$G,"2nd BiS"))</f>
        <v/>
      </c>
      <c r="H141" s="11" t="str">
        <f>IF(D141="","",COUNTIFS('Loot History'!$A:$A,D141,'Loot History'!$G:$G,"Upgrade"))</f>
        <v/>
      </c>
      <c r="I141" s="11" t="str">
        <f>IF(D141="","",COUNTIFS('Loot History'!$A:$A,D141,'Loot History'!$G:$G,"Offspecc"))</f>
        <v/>
      </c>
      <c r="J141" s="11" t="str">
        <f>IF(D141="","",COUNTIFS('Loot History'!$A:$A,D141,'Loot History'!$G:$G,"Passen"))</f>
        <v/>
      </c>
      <c r="K141" s="11" t="str">
        <f t="shared" ref="K141:K172" si="5">IF(D141="","",IFERROR(E141-F141-G141-H141-I141-J141,0))</f>
        <v/>
      </c>
      <c r="L141" t="str">
        <f>IF(D141="","",IFERROR(INDEX('Loot History'!$I:$I,MATCH(D141,'Loot History'!$A:$A,0)),""))</f>
        <v/>
      </c>
    </row>
    <row r="142" spans="5:12" x14ac:dyDescent="0.25">
      <c r="E142" s="11" t="str">
        <f>IF(D142="","",COUNTIF('Loot History'!$A:$A,D142))</f>
        <v/>
      </c>
      <c r="F142" s="11" t="str">
        <f>IF(D142="","",COUNTIFS('Loot History'!$A:$A,D142,'Loot History'!$G:$G,"BiS"))</f>
        <v/>
      </c>
      <c r="G142" s="11" t="str">
        <f>IF(D142="","",COUNTIFS('Loot History'!$A:$A,D142,'Loot History'!$G:$G,"2nd BiS"))</f>
        <v/>
      </c>
      <c r="H142" s="11" t="str">
        <f>IF(D142="","",COUNTIFS('Loot History'!$A:$A,D142,'Loot History'!$G:$G,"Upgrade"))</f>
        <v/>
      </c>
      <c r="I142" s="11" t="str">
        <f>IF(D142="","",COUNTIFS('Loot History'!$A:$A,D142,'Loot History'!$G:$G,"Offspecc"))</f>
        <v/>
      </c>
      <c r="J142" s="11" t="str">
        <f>IF(D142="","",COUNTIFS('Loot History'!$A:$A,D142,'Loot History'!$G:$G,"Passen"))</f>
        <v/>
      </c>
      <c r="K142" s="11" t="str">
        <f t="shared" si="5"/>
        <v/>
      </c>
      <c r="L142" t="str">
        <f>IF(D142="","",IFERROR(INDEX('Loot History'!$I:$I,MATCH(D142,'Loot History'!$A:$A,0)),""))</f>
        <v/>
      </c>
    </row>
    <row r="143" spans="5:12" x14ac:dyDescent="0.25">
      <c r="E143" s="11" t="str">
        <f>IF(D143="","",COUNTIF('Loot History'!$A:$A,D143))</f>
        <v/>
      </c>
      <c r="F143" s="11" t="str">
        <f>IF(D143="","",COUNTIFS('Loot History'!$A:$A,D143,'Loot History'!$G:$G,"BiS"))</f>
        <v/>
      </c>
      <c r="G143" s="11" t="str">
        <f>IF(D143="","",COUNTIFS('Loot History'!$A:$A,D143,'Loot History'!$G:$G,"2nd BiS"))</f>
        <v/>
      </c>
      <c r="H143" s="11" t="str">
        <f>IF(D143="","",COUNTIFS('Loot History'!$A:$A,D143,'Loot History'!$G:$G,"Upgrade"))</f>
        <v/>
      </c>
      <c r="I143" s="11" t="str">
        <f>IF(D143="","",COUNTIFS('Loot History'!$A:$A,D143,'Loot History'!$G:$G,"Offspecc"))</f>
        <v/>
      </c>
      <c r="J143" s="11" t="str">
        <f>IF(D143="","",COUNTIFS('Loot History'!$A:$A,D143,'Loot History'!$G:$G,"Passen"))</f>
        <v/>
      </c>
      <c r="K143" s="11" t="str">
        <f t="shared" si="5"/>
        <v/>
      </c>
      <c r="L143" t="str">
        <f>IF(D143="","",IFERROR(INDEX('Loot History'!$I:$I,MATCH(D143,'Loot History'!$A:$A,0)),""))</f>
        <v/>
      </c>
    </row>
    <row r="144" spans="5:12" x14ac:dyDescent="0.25">
      <c r="E144" s="11" t="str">
        <f>IF(D144="","",COUNTIF('Loot History'!$A:$A,D144))</f>
        <v/>
      </c>
      <c r="F144" s="11" t="str">
        <f>IF(D144="","",COUNTIFS('Loot History'!$A:$A,D144,'Loot History'!$G:$G,"BiS"))</f>
        <v/>
      </c>
      <c r="G144" s="11" t="str">
        <f>IF(D144="","",COUNTIFS('Loot History'!$A:$A,D144,'Loot History'!$G:$G,"2nd BiS"))</f>
        <v/>
      </c>
      <c r="H144" s="11" t="str">
        <f>IF(D144="","",COUNTIFS('Loot History'!$A:$A,D144,'Loot History'!$G:$G,"Upgrade"))</f>
        <v/>
      </c>
      <c r="I144" s="11" t="str">
        <f>IF(D144="","",COUNTIFS('Loot History'!$A:$A,D144,'Loot History'!$G:$G,"Offspecc"))</f>
        <v/>
      </c>
      <c r="J144" s="11" t="str">
        <f>IF(D144="","",COUNTIFS('Loot History'!$A:$A,D144,'Loot History'!$G:$G,"Passen"))</f>
        <v/>
      </c>
      <c r="K144" s="11" t="str">
        <f t="shared" si="5"/>
        <v/>
      </c>
      <c r="L144" t="str">
        <f>IF(D144="","",IFERROR(INDEX('Loot History'!$I:$I,MATCH(D144,'Loot History'!$A:$A,0)),""))</f>
        <v/>
      </c>
    </row>
    <row r="145" spans="5:12" x14ac:dyDescent="0.25">
      <c r="E145" s="11" t="str">
        <f>IF(D145="","",COUNTIF('Loot History'!$A:$A,D145))</f>
        <v/>
      </c>
      <c r="F145" s="11" t="str">
        <f>IF(D145="","",COUNTIFS('Loot History'!$A:$A,D145,'Loot History'!$G:$G,"BiS"))</f>
        <v/>
      </c>
      <c r="G145" s="11" t="str">
        <f>IF(D145="","",COUNTIFS('Loot History'!$A:$A,D145,'Loot History'!$G:$G,"2nd BiS"))</f>
        <v/>
      </c>
      <c r="H145" s="11" t="str">
        <f>IF(D145="","",COUNTIFS('Loot History'!$A:$A,D145,'Loot History'!$G:$G,"Upgrade"))</f>
        <v/>
      </c>
      <c r="I145" s="11" t="str">
        <f>IF(D145="","",COUNTIFS('Loot History'!$A:$A,D145,'Loot History'!$G:$G,"Offspecc"))</f>
        <v/>
      </c>
      <c r="J145" s="11" t="str">
        <f>IF(D145="","",COUNTIFS('Loot History'!$A:$A,D145,'Loot History'!$G:$G,"Passen"))</f>
        <v/>
      </c>
      <c r="K145" s="11" t="str">
        <f t="shared" si="5"/>
        <v/>
      </c>
      <c r="L145" t="str">
        <f>IF(D145="","",IFERROR(INDEX('Loot History'!$I:$I,MATCH(D145,'Loot History'!$A:$A,0)),""))</f>
        <v/>
      </c>
    </row>
    <row r="146" spans="5:12" x14ac:dyDescent="0.25">
      <c r="E146" s="11" t="str">
        <f>IF(D146="","",COUNTIF('Loot History'!$A:$A,D146))</f>
        <v/>
      </c>
      <c r="F146" s="11" t="str">
        <f>IF(D146="","",COUNTIFS('Loot History'!$A:$A,D146,'Loot History'!$G:$G,"BiS"))</f>
        <v/>
      </c>
      <c r="G146" s="11" t="str">
        <f>IF(D146="","",COUNTIFS('Loot History'!$A:$A,D146,'Loot History'!$G:$G,"2nd BiS"))</f>
        <v/>
      </c>
      <c r="H146" s="11" t="str">
        <f>IF(D146="","",COUNTIFS('Loot History'!$A:$A,D146,'Loot History'!$G:$G,"Upgrade"))</f>
        <v/>
      </c>
      <c r="I146" s="11" t="str">
        <f>IF(D146="","",COUNTIFS('Loot History'!$A:$A,D146,'Loot History'!$G:$G,"Offspecc"))</f>
        <v/>
      </c>
      <c r="J146" s="11" t="str">
        <f>IF(D146="","",COUNTIFS('Loot History'!$A:$A,D146,'Loot History'!$G:$G,"Passen"))</f>
        <v/>
      </c>
      <c r="K146" s="11" t="str">
        <f t="shared" si="5"/>
        <v/>
      </c>
      <c r="L146" t="str">
        <f>IF(D146="","",IFERROR(INDEX('Loot History'!$I:$I,MATCH(D146,'Loot History'!$A:$A,0)),""))</f>
        <v/>
      </c>
    </row>
    <row r="147" spans="5:12" x14ac:dyDescent="0.25">
      <c r="E147" s="11" t="str">
        <f>IF(D147="","",COUNTIF('Loot History'!$A:$A,D147))</f>
        <v/>
      </c>
      <c r="F147" s="11" t="str">
        <f>IF(D147="","",COUNTIFS('Loot History'!$A:$A,D147,'Loot History'!$G:$G,"BiS"))</f>
        <v/>
      </c>
      <c r="G147" s="11" t="str">
        <f>IF(D147="","",COUNTIFS('Loot History'!$A:$A,D147,'Loot History'!$G:$G,"2nd BiS"))</f>
        <v/>
      </c>
      <c r="H147" s="11" t="str">
        <f>IF(D147="","",COUNTIFS('Loot History'!$A:$A,D147,'Loot History'!$G:$G,"Upgrade"))</f>
        <v/>
      </c>
      <c r="I147" s="11" t="str">
        <f>IF(D147="","",COUNTIFS('Loot History'!$A:$A,D147,'Loot History'!$G:$G,"Offspecc"))</f>
        <v/>
      </c>
      <c r="J147" s="11" t="str">
        <f>IF(D147="","",COUNTIFS('Loot History'!$A:$A,D147,'Loot History'!$G:$G,"Passen"))</f>
        <v/>
      </c>
      <c r="K147" s="11" t="str">
        <f t="shared" si="5"/>
        <v/>
      </c>
      <c r="L147" t="str">
        <f>IF(D147="","",IFERROR(INDEX('Loot History'!$I:$I,MATCH(D147,'Loot History'!$A:$A,0)),""))</f>
        <v/>
      </c>
    </row>
    <row r="148" spans="5:12" x14ac:dyDescent="0.25">
      <c r="E148" s="11" t="str">
        <f>IF(D148="","",COUNTIF('Loot History'!$A:$A,D148))</f>
        <v/>
      </c>
      <c r="F148" s="11" t="str">
        <f>IF(D148="","",COUNTIFS('Loot History'!$A:$A,D148,'Loot History'!$G:$G,"BiS"))</f>
        <v/>
      </c>
      <c r="G148" s="11" t="str">
        <f>IF(D148="","",COUNTIFS('Loot History'!$A:$A,D148,'Loot History'!$G:$G,"2nd BiS"))</f>
        <v/>
      </c>
      <c r="H148" s="11" t="str">
        <f>IF(D148="","",COUNTIFS('Loot History'!$A:$A,D148,'Loot History'!$G:$G,"Upgrade"))</f>
        <v/>
      </c>
      <c r="I148" s="11" t="str">
        <f>IF(D148="","",COUNTIFS('Loot History'!$A:$A,D148,'Loot History'!$G:$G,"Offspecc"))</f>
        <v/>
      </c>
      <c r="J148" s="11" t="str">
        <f>IF(D148="","",COUNTIFS('Loot History'!$A:$A,D148,'Loot History'!$G:$G,"Passen"))</f>
        <v/>
      </c>
      <c r="K148" s="11" t="str">
        <f t="shared" si="5"/>
        <v/>
      </c>
      <c r="L148" t="str">
        <f>IF(D148="","",IFERROR(INDEX('Loot History'!$I:$I,MATCH(D148,'Loot History'!$A:$A,0)),""))</f>
        <v/>
      </c>
    </row>
    <row r="149" spans="5:12" x14ac:dyDescent="0.25">
      <c r="E149" s="11" t="str">
        <f>IF(D149="","",COUNTIF('Loot History'!$A:$A,D149))</f>
        <v/>
      </c>
      <c r="F149" s="11" t="str">
        <f>IF(D149="","",COUNTIFS('Loot History'!$A:$A,D149,'Loot History'!$G:$G,"BiS"))</f>
        <v/>
      </c>
      <c r="G149" s="11" t="str">
        <f>IF(D149="","",COUNTIFS('Loot History'!$A:$A,D149,'Loot History'!$G:$G,"2nd BiS"))</f>
        <v/>
      </c>
      <c r="H149" s="11" t="str">
        <f>IF(D149="","",COUNTIFS('Loot History'!$A:$A,D149,'Loot History'!$G:$G,"Upgrade"))</f>
        <v/>
      </c>
      <c r="I149" s="11" t="str">
        <f>IF(D149="","",COUNTIFS('Loot History'!$A:$A,D149,'Loot History'!$G:$G,"Offspecc"))</f>
        <v/>
      </c>
      <c r="J149" s="11" t="str">
        <f>IF(D149="","",COUNTIFS('Loot History'!$A:$A,D149,'Loot History'!$G:$G,"Passen"))</f>
        <v/>
      </c>
      <c r="K149" s="11" t="str">
        <f t="shared" si="5"/>
        <v/>
      </c>
      <c r="L149" t="str">
        <f>IF(D149="","",IFERROR(INDEX('Loot History'!$I:$I,MATCH(D149,'Loot History'!$A:$A,0)),""))</f>
        <v/>
      </c>
    </row>
    <row r="150" spans="5:12" x14ac:dyDescent="0.25">
      <c r="E150" s="11" t="str">
        <f>IF(D150="","",COUNTIF('Loot History'!$A:$A,D150))</f>
        <v/>
      </c>
      <c r="F150" s="11" t="str">
        <f>IF(D150="","",COUNTIFS('Loot History'!$A:$A,D150,'Loot History'!$G:$G,"BiS"))</f>
        <v/>
      </c>
      <c r="G150" s="11" t="str">
        <f>IF(D150="","",COUNTIFS('Loot History'!$A:$A,D150,'Loot History'!$G:$G,"2nd BiS"))</f>
        <v/>
      </c>
      <c r="H150" s="11" t="str">
        <f>IF(D150="","",COUNTIFS('Loot History'!$A:$A,D150,'Loot History'!$G:$G,"Upgrade"))</f>
        <v/>
      </c>
      <c r="I150" s="11" t="str">
        <f>IF(D150="","",COUNTIFS('Loot History'!$A:$A,D150,'Loot History'!$G:$G,"Offspecc"))</f>
        <v/>
      </c>
      <c r="J150" s="11" t="str">
        <f>IF(D150="","",COUNTIFS('Loot History'!$A:$A,D150,'Loot History'!$G:$G,"Passen"))</f>
        <v/>
      </c>
      <c r="K150" s="11" t="str">
        <f t="shared" si="5"/>
        <v/>
      </c>
      <c r="L150" t="str">
        <f>IF(D150="","",IFERROR(INDEX('Loot History'!$I:$I,MATCH(D150,'Loot History'!$A:$A,0)),""))</f>
        <v/>
      </c>
    </row>
    <row r="151" spans="5:12" x14ac:dyDescent="0.25">
      <c r="E151" s="11" t="str">
        <f>IF(D151="","",COUNTIF('Loot History'!$A:$A,D151))</f>
        <v/>
      </c>
      <c r="F151" s="11" t="str">
        <f>IF(D151="","",COUNTIFS('Loot History'!$A:$A,D151,'Loot History'!$G:$G,"BiS"))</f>
        <v/>
      </c>
      <c r="G151" s="11" t="str">
        <f>IF(D151="","",COUNTIFS('Loot History'!$A:$A,D151,'Loot History'!$G:$G,"2nd BiS"))</f>
        <v/>
      </c>
      <c r="H151" s="11" t="str">
        <f>IF(D151="","",COUNTIFS('Loot History'!$A:$A,D151,'Loot History'!$G:$G,"Upgrade"))</f>
        <v/>
      </c>
      <c r="I151" s="11" t="str">
        <f>IF(D151="","",COUNTIFS('Loot History'!$A:$A,D151,'Loot History'!$G:$G,"Offspecc"))</f>
        <v/>
      </c>
      <c r="J151" s="11" t="str">
        <f>IF(D151="","",COUNTIFS('Loot History'!$A:$A,D151,'Loot History'!$G:$G,"Passen"))</f>
        <v/>
      </c>
      <c r="K151" s="11" t="str">
        <f t="shared" si="5"/>
        <v/>
      </c>
      <c r="L151" t="str">
        <f>IF(D151="","",IFERROR(INDEX('Loot History'!$I:$I,MATCH(D151,'Loot History'!$A:$A,0)),""))</f>
        <v/>
      </c>
    </row>
    <row r="152" spans="5:12" x14ac:dyDescent="0.25">
      <c r="E152" s="11" t="str">
        <f>IF(D152="","",COUNTIF('Loot History'!$A:$A,D152))</f>
        <v/>
      </c>
      <c r="F152" s="11" t="str">
        <f>IF(D152="","",COUNTIFS('Loot History'!$A:$A,D152,'Loot History'!$G:$G,"BiS"))</f>
        <v/>
      </c>
      <c r="G152" s="11" t="str">
        <f>IF(D152="","",COUNTIFS('Loot History'!$A:$A,D152,'Loot History'!$G:$G,"2nd BiS"))</f>
        <v/>
      </c>
      <c r="H152" s="11" t="str">
        <f>IF(D152="","",COUNTIFS('Loot History'!$A:$A,D152,'Loot History'!$G:$G,"Upgrade"))</f>
        <v/>
      </c>
      <c r="I152" s="11" t="str">
        <f>IF(D152="","",COUNTIFS('Loot History'!$A:$A,D152,'Loot History'!$G:$G,"Offspecc"))</f>
        <v/>
      </c>
      <c r="J152" s="11" t="str">
        <f>IF(D152="","",COUNTIFS('Loot History'!$A:$A,D152,'Loot History'!$G:$G,"Passen"))</f>
        <v/>
      </c>
      <c r="K152" s="11" t="str">
        <f t="shared" si="5"/>
        <v/>
      </c>
      <c r="L152" t="str">
        <f>IF(D152="","",IFERROR(INDEX('Loot History'!$I:$I,MATCH(D152,'Loot History'!$A:$A,0)),""))</f>
        <v/>
      </c>
    </row>
    <row r="153" spans="5:12" x14ac:dyDescent="0.25">
      <c r="E153" s="11" t="str">
        <f>IF(D153="","",COUNTIF('Loot History'!$A:$A,D153))</f>
        <v/>
      </c>
      <c r="F153" s="11" t="str">
        <f>IF(D153="","",COUNTIFS('Loot History'!$A:$A,D153,'Loot History'!$G:$G,"BiS"))</f>
        <v/>
      </c>
      <c r="G153" s="11" t="str">
        <f>IF(D153="","",COUNTIFS('Loot History'!$A:$A,D153,'Loot History'!$G:$G,"2nd BiS"))</f>
        <v/>
      </c>
      <c r="H153" s="11" t="str">
        <f>IF(D153="","",COUNTIFS('Loot History'!$A:$A,D153,'Loot History'!$G:$G,"Upgrade"))</f>
        <v/>
      </c>
      <c r="I153" s="11" t="str">
        <f>IF(D153="","",COUNTIFS('Loot History'!$A:$A,D153,'Loot History'!$G:$G,"Offspecc"))</f>
        <v/>
      </c>
      <c r="J153" s="11" t="str">
        <f>IF(D153="","",COUNTIFS('Loot History'!$A:$A,D153,'Loot History'!$G:$G,"Passen"))</f>
        <v/>
      </c>
      <c r="K153" s="11" t="str">
        <f t="shared" si="5"/>
        <v/>
      </c>
      <c r="L153" t="str">
        <f>IF(D153="","",IFERROR(INDEX('Loot History'!$I:$I,MATCH(D153,'Loot History'!$A:$A,0)),""))</f>
        <v/>
      </c>
    </row>
    <row r="154" spans="5:12" x14ac:dyDescent="0.25">
      <c r="E154" s="11" t="str">
        <f>IF(D154="","",COUNTIF('Loot History'!$A:$A,D154))</f>
        <v/>
      </c>
      <c r="F154" s="11" t="str">
        <f>IF(D154="","",COUNTIFS('Loot History'!$A:$A,D154,'Loot History'!$G:$G,"BiS"))</f>
        <v/>
      </c>
      <c r="G154" s="11" t="str">
        <f>IF(D154="","",COUNTIFS('Loot History'!$A:$A,D154,'Loot History'!$G:$G,"2nd BiS"))</f>
        <v/>
      </c>
      <c r="H154" s="11" t="str">
        <f>IF(D154="","",COUNTIFS('Loot History'!$A:$A,D154,'Loot History'!$G:$G,"Upgrade"))</f>
        <v/>
      </c>
      <c r="I154" s="11" t="str">
        <f>IF(D154="","",COUNTIFS('Loot History'!$A:$A,D154,'Loot History'!$G:$G,"Offspecc"))</f>
        <v/>
      </c>
      <c r="J154" s="11" t="str">
        <f>IF(D154="","",COUNTIFS('Loot History'!$A:$A,D154,'Loot History'!$G:$G,"Passen"))</f>
        <v/>
      </c>
      <c r="K154" s="11" t="str">
        <f t="shared" si="5"/>
        <v/>
      </c>
      <c r="L154" t="str">
        <f>IF(D154="","",IFERROR(INDEX('Loot History'!$I:$I,MATCH(D154,'Loot History'!$A:$A,0)),""))</f>
        <v/>
      </c>
    </row>
    <row r="155" spans="5:12" x14ac:dyDescent="0.25">
      <c r="E155" s="11" t="str">
        <f>IF(D155="","",COUNTIF('Loot History'!$A:$A,D155))</f>
        <v/>
      </c>
      <c r="F155" s="11" t="str">
        <f>IF(D155="","",COUNTIFS('Loot History'!$A:$A,D155,'Loot History'!$G:$G,"BiS"))</f>
        <v/>
      </c>
      <c r="G155" s="11" t="str">
        <f>IF(D155="","",COUNTIFS('Loot History'!$A:$A,D155,'Loot History'!$G:$G,"2nd BiS"))</f>
        <v/>
      </c>
      <c r="H155" s="11" t="str">
        <f>IF(D155="","",COUNTIFS('Loot History'!$A:$A,D155,'Loot History'!$G:$G,"Upgrade"))</f>
        <v/>
      </c>
      <c r="I155" s="11" t="str">
        <f>IF(D155="","",COUNTIFS('Loot History'!$A:$A,D155,'Loot History'!$G:$G,"Offspecc"))</f>
        <v/>
      </c>
      <c r="J155" s="11" t="str">
        <f>IF(D155="","",COUNTIFS('Loot History'!$A:$A,D155,'Loot History'!$G:$G,"Passen"))</f>
        <v/>
      </c>
      <c r="K155" s="11" t="str">
        <f t="shared" si="5"/>
        <v/>
      </c>
      <c r="L155" t="str">
        <f>IF(D155="","",IFERROR(INDEX('Loot History'!$I:$I,MATCH(D155,'Loot History'!$A:$A,0)),""))</f>
        <v/>
      </c>
    </row>
    <row r="156" spans="5:12" x14ac:dyDescent="0.25">
      <c r="E156" s="11" t="str">
        <f>IF(D156="","",COUNTIF('Loot History'!$A:$A,D156))</f>
        <v/>
      </c>
      <c r="F156" s="11" t="str">
        <f>IF(D156="","",COUNTIFS('Loot History'!$A:$A,D156,'Loot History'!$G:$G,"BiS"))</f>
        <v/>
      </c>
      <c r="G156" s="11" t="str">
        <f>IF(D156="","",COUNTIFS('Loot History'!$A:$A,D156,'Loot History'!$G:$G,"2nd BiS"))</f>
        <v/>
      </c>
      <c r="H156" s="11" t="str">
        <f>IF(D156="","",COUNTIFS('Loot History'!$A:$A,D156,'Loot History'!$G:$G,"Upgrade"))</f>
        <v/>
      </c>
      <c r="I156" s="11" t="str">
        <f>IF(D156="","",COUNTIFS('Loot History'!$A:$A,D156,'Loot History'!$G:$G,"Offspecc"))</f>
        <v/>
      </c>
      <c r="J156" s="11" t="str">
        <f>IF(D156="","",COUNTIFS('Loot History'!$A:$A,D156,'Loot History'!$G:$G,"Passen"))</f>
        <v/>
      </c>
      <c r="K156" s="11" t="str">
        <f t="shared" si="5"/>
        <v/>
      </c>
      <c r="L156" t="str">
        <f>IF(D156="","",IFERROR(INDEX('Loot History'!$I:$I,MATCH(D156,'Loot History'!$A:$A,0)),""))</f>
        <v/>
      </c>
    </row>
    <row r="157" spans="5:12" x14ac:dyDescent="0.25">
      <c r="E157" s="11" t="str">
        <f>IF(D157="","",COUNTIF('Loot History'!$A:$A,D157))</f>
        <v/>
      </c>
      <c r="F157" s="11" t="str">
        <f>IF(D157="","",COUNTIFS('Loot History'!$A:$A,D157,'Loot History'!$G:$G,"BiS"))</f>
        <v/>
      </c>
      <c r="G157" s="11" t="str">
        <f>IF(D157="","",COUNTIFS('Loot History'!$A:$A,D157,'Loot History'!$G:$G,"2nd BiS"))</f>
        <v/>
      </c>
      <c r="H157" s="11" t="str">
        <f>IF(D157="","",COUNTIFS('Loot History'!$A:$A,D157,'Loot History'!$G:$G,"Upgrade"))</f>
        <v/>
      </c>
      <c r="I157" s="11" t="str">
        <f>IF(D157="","",COUNTIFS('Loot History'!$A:$A,D157,'Loot History'!$G:$G,"Offspecc"))</f>
        <v/>
      </c>
      <c r="J157" s="11" t="str">
        <f>IF(D157="","",COUNTIFS('Loot History'!$A:$A,D157,'Loot History'!$G:$G,"Passen"))</f>
        <v/>
      </c>
      <c r="K157" s="11" t="str">
        <f t="shared" si="5"/>
        <v/>
      </c>
      <c r="L157" t="str">
        <f>IF(D157="","",IFERROR(INDEX('Loot History'!$I:$I,MATCH(D157,'Loot History'!$A:$A,0)),""))</f>
        <v/>
      </c>
    </row>
    <row r="158" spans="5:12" x14ac:dyDescent="0.25">
      <c r="E158" s="11" t="str">
        <f>IF(D158="","",COUNTIF('Loot History'!$A:$A,D158))</f>
        <v/>
      </c>
      <c r="F158" s="11" t="str">
        <f>IF(D158="","",COUNTIFS('Loot History'!$A:$A,D158,'Loot History'!$G:$G,"BiS"))</f>
        <v/>
      </c>
      <c r="G158" s="11" t="str">
        <f>IF(D158="","",COUNTIFS('Loot History'!$A:$A,D158,'Loot History'!$G:$G,"2nd BiS"))</f>
        <v/>
      </c>
      <c r="H158" s="11" t="str">
        <f>IF(D158="","",COUNTIFS('Loot History'!$A:$A,D158,'Loot History'!$G:$G,"Upgrade"))</f>
        <v/>
      </c>
      <c r="I158" s="11" t="str">
        <f>IF(D158="","",COUNTIFS('Loot History'!$A:$A,D158,'Loot History'!$G:$G,"Offspecc"))</f>
        <v/>
      </c>
      <c r="J158" s="11" t="str">
        <f>IF(D158="","",COUNTIFS('Loot History'!$A:$A,D158,'Loot History'!$G:$G,"Passen"))</f>
        <v/>
      </c>
      <c r="K158" s="11" t="str">
        <f t="shared" si="5"/>
        <v/>
      </c>
      <c r="L158" t="str">
        <f>IF(D158="","",IFERROR(INDEX('Loot History'!$I:$I,MATCH(D158,'Loot History'!$A:$A,0)),""))</f>
        <v/>
      </c>
    </row>
    <row r="159" spans="5:12" x14ac:dyDescent="0.25">
      <c r="E159" s="11" t="str">
        <f>IF(D159="","",COUNTIF('Loot History'!$A:$A,D159))</f>
        <v/>
      </c>
      <c r="F159" s="11" t="str">
        <f>IF(D159="","",COUNTIFS('Loot History'!$A:$A,D159,'Loot History'!$G:$G,"BiS"))</f>
        <v/>
      </c>
      <c r="G159" s="11" t="str">
        <f>IF(D159="","",COUNTIFS('Loot History'!$A:$A,D159,'Loot History'!$G:$G,"2nd BiS"))</f>
        <v/>
      </c>
      <c r="H159" s="11" t="str">
        <f>IF(D159="","",COUNTIFS('Loot History'!$A:$A,D159,'Loot History'!$G:$G,"Upgrade"))</f>
        <v/>
      </c>
      <c r="I159" s="11" t="str">
        <f>IF(D159="","",COUNTIFS('Loot History'!$A:$A,D159,'Loot History'!$G:$G,"Offspecc"))</f>
        <v/>
      </c>
      <c r="J159" s="11" t="str">
        <f>IF(D159="","",COUNTIFS('Loot History'!$A:$A,D159,'Loot History'!$G:$G,"Passen"))</f>
        <v/>
      </c>
      <c r="K159" s="11" t="str">
        <f t="shared" si="5"/>
        <v/>
      </c>
      <c r="L159" t="str">
        <f>IF(D159="","",IFERROR(INDEX('Loot History'!$I:$I,MATCH(D159,'Loot History'!$A:$A,0)),""))</f>
        <v/>
      </c>
    </row>
    <row r="160" spans="5:12" x14ac:dyDescent="0.25">
      <c r="E160" s="11" t="str">
        <f>IF(D160="","",COUNTIF('Loot History'!$A:$A,D160))</f>
        <v/>
      </c>
      <c r="F160" s="11" t="str">
        <f>IF(D160="","",COUNTIFS('Loot History'!$A:$A,D160,'Loot History'!$G:$G,"BiS"))</f>
        <v/>
      </c>
      <c r="G160" s="11" t="str">
        <f>IF(D160="","",COUNTIFS('Loot History'!$A:$A,D160,'Loot History'!$G:$G,"2nd BiS"))</f>
        <v/>
      </c>
      <c r="H160" s="11" t="str">
        <f>IF(D160="","",COUNTIFS('Loot History'!$A:$A,D160,'Loot History'!$G:$G,"Upgrade"))</f>
        <v/>
      </c>
      <c r="I160" s="11" t="str">
        <f>IF(D160="","",COUNTIFS('Loot History'!$A:$A,D160,'Loot History'!$G:$G,"Offspecc"))</f>
        <v/>
      </c>
      <c r="J160" s="11" t="str">
        <f>IF(D160="","",COUNTIFS('Loot History'!$A:$A,D160,'Loot History'!$G:$G,"Passen"))</f>
        <v/>
      </c>
      <c r="K160" s="11" t="str">
        <f t="shared" si="5"/>
        <v/>
      </c>
      <c r="L160" t="str">
        <f>IF(D160="","",IFERROR(INDEX('Loot History'!$I:$I,MATCH(D160,'Loot History'!$A:$A,0)),""))</f>
        <v/>
      </c>
    </row>
    <row r="161" spans="5:12" x14ac:dyDescent="0.25">
      <c r="E161" s="11" t="str">
        <f>IF(D161="","",COUNTIF('Loot History'!$A:$A,D161))</f>
        <v/>
      </c>
      <c r="F161" s="11" t="str">
        <f>IF(D161="","",COUNTIFS('Loot History'!$A:$A,D161,'Loot History'!$G:$G,"BiS"))</f>
        <v/>
      </c>
      <c r="G161" s="11" t="str">
        <f>IF(D161="","",COUNTIFS('Loot History'!$A:$A,D161,'Loot History'!$G:$G,"2nd BiS"))</f>
        <v/>
      </c>
      <c r="H161" s="11" t="str">
        <f>IF(D161="","",COUNTIFS('Loot History'!$A:$A,D161,'Loot History'!$G:$G,"Upgrade"))</f>
        <v/>
      </c>
      <c r="I161" s="11" t="str">
        <f>IF(D161="","",COUNTIFS('Loot History'!$A:$A,D161,'Loot History'!$G:$G,"Offspecc"))</f>
        <v/>
      </c>
      <c r="J161" s="11" t="str">
        <f>IF(D161="","",COUNTIFS('Loot History'!$A:$A,D161,'Loot History'!$G:$G,"Passen"))</f>
        <v/>
      </c>
      <c r="K161" s="11" t="str">
        <f t="shared" si="5"/>
        <v/>
      </c>
      <c r="L161" t="str">
        <f>IF(D161="","",IFERROR(INDEX('Loot History'!$I:$I,MATCH(D161,'Loot History'!$A:$A,0)),""))</f>
        <v/>
      </c>
    </row>
    <row r="162" spans="5:12" x14ac:dyDescent="0.25">
      <c r="E162" s="11" t="str">
        <f>IF(D162="","",COUNTIF('Loot History'!$A:$A,D162))</f>
        <v/>
      </c>
      <c r="F162" s="11" t="str">
        <f>IF(D162="","",COUNTIFS('Loot History'!$A:$A,D162,'Loot History'!$G:$G,"BiS"))</f>
        <v/>
      </c>
      <c r="G162" s="11" t="str">
        <f>IF(D162="","",COUNTIFS('Loot History'!$A:$A,D162,'Loot History'!$G:$G,"2nd BiS"))</f>
        <v/>
      </c>
      <c r="H162" s="11" t="str">
        <f>IF(D162="","",COUNTIFS('Loot History'!$A:$A,D162,'Loot History'!$G:$G,"Upgrade"))</f>
        <v/>
      </c>
      <c r="I162" s="11" t="str">
        <f>IF(D162="","",COUNTIFS('Loot History'!$A:$A,D162,'Loot History'!$G:$G,"Offspecc"))</f>
        <v/>
      </c>
      <c r="J162" s="11" t="str">
        <f>IF(D162="","",COUNTIFS('Loot History'!$A:$A,D162,'Loot History'!$G:$G,"Passen"))</f>
        <v/>
      </c>
      <c r="K162" s="11" t="str">
        <f t="shared" si="5"/>
        <v/>
      </c>
      <c r="L162" t="str">
        <f>IF(D162="","",IFERROR(INDEX('Loot History'!$I:$I,MATCH(D162,'Loot History'!$A:$A,0)),""))</f>
        <v/>
      </c>
    </row>
    <row r="163" spans="5:12" x14ac:dyDescent="0.25">
      <c r="E163" s="11" t="str">
        <f>IF(D163="","",COUNTIF('Loot History'!$A:$A,D163))</f>
        <v/>
      </c>
      <c r="F163" s="11" t="str">
        <f>IF(D163="","",COUNTIFS('Loot History'!$A:$A,D163,'Loot History'!$G:$G,"BiS"))</f>
        <v/>
      </c>
      <c r="G163" s="11" t="str">
        <f>IF(D163="","",COUNTIFS('Loot History'!$A:$A,D163,'Loot History'!$G:$G,"2nd BiS"))</f>
        <v/>
      </c>
      <c r="H163" s="11" t="str">
        <f>IF(D163="","",COUNTIFS('Loot History'!$A:$A,D163,'Loot History'!$G:$G,"Upgrade"))</f>
        <v/>
      </c>
      <c r="I163" s="11" t="str">
        <f>IF(D163="","",COUNTIFS('Loot History'!$A:$A,D163,'Loot History'!$G:$G,"Offspecc"))</f>
        <v/>
      </c>
      <c r="J163" s="11" t="str">
        <f>IF(D163="","",COUNTIFS('Loot History'!$A:$A,D163,'Loot History'!$G:$G,"Passen"))</f>
        <v/>
      </c>
      <c r="K163" s="11" t="str">
        <f t="shared" si="5"/>
        <v/>
      </c>
      <c r="L163" t="str">
        <f>IF(D163="","",IFERROR(INDEX('Loot History'!$I:$I,MATCH(D163,'Loot History'!$A:$A,0)),""))</f>
        <v/>
      </c>
    </row>
    <row r="164" spans="5:12" x14ac:dyDescent="0.25">
      <c r="E164" s="11" t="str">
        <f>IF(D164="","",COUNTIF('Loot History'!$A:$A,D164))</f>
        <v/>
      </c>
      <c r="F164" s="11" t="str">
        <f>IF(D164="","",COUNTIFS('Loot History'!$A:$A,D164,'Loot History'!$G:$G,"BiS"))</f>
        <v/>
      </c>
      <c r="G164" s="11" t="str">
        <f>IF(D164="","",COUNTIFS('Loot History'!$A:$A,D164,'Loot History'!$G:$G,"2nd BiS"))</f>
        <v/>
      </c>
      <c r="H164" s="11" t="str">
        <f>IF(D164="","",COUNTIFS('Loot History'!$A:$A,D164,'Loot History'!$G:$G,"Upgrade"))</f>
        <v/>
      </c>
      <c r="I164" s="11" t="str">
        <f>IF(D164="","",COUNTIFS('Loot History'!$A:$A,D164,'Loot History'!$G:$G,"Offspecc"))</f>
        <v/>
      </c>
      <c r="J164" s="11" t="str">
        <f>IF(D164="","",COUNTIFS('Loot History'!$A:$A,D164,'Loot History'!$G:$G,"Passen"))</f>
        <v/>
      </c>
      <c r="K164" s="11" t="str">
        <f t="shared" si="5"/>
        <v/>
      </c>
      <c r="L164" t="str">
        <f>IF(D164="","",IFERROR(INDEX('Loot History'!$I:$I,MATCH(D164,'Loot History'!$A:$A,0)),""))</f>
        <v/>
      </c>
    </row>
    <row r="165" spans="5:12" x14ac:dyDescent="0.25">
      <c r="E165" s="11" t="str">
        <f>IF(D165="","",COUNTIF('Loot History'!$A:$A,D165))</f>
        <v/>
      </c>
      <c r="F165" s="11" t="str">
        <f>IF(D165="","",COUNTIFS('Loot History'!$A:$A,D165,'Loot History'!$G:$G,"BiS"))</f>
        <v/>
      </c>
      <c r="G165" s="11" t="str">
        <f>IF(D165="","",COUNTIFS('Loot History'!$A:$A,D165,'Loot History'!$G:$G,"2nd BiS"))</f>
        <v/>
      </c>
      <c r="H165" s="11" t="str">
        <f>IF(D165="","",COUNTIFS('Loot History'!$A:$A,D165,'Loot History'!$G:$G,"Upgrade"))</f>
        <v/>
      </c>
      <c r="I165" s="11" t="str">
        <f>IF(D165="","",COUNTIFS('Loot History'!$A:$A,D165,'Loot History'!$G:$G,"Offspecc"))</f>
        <v/>
      </c>
      <c r="J165" s="11" t="str">
        <f>IF(D165="","",COUNTIFS('Loot History'!$A:$A,D165,'Loot History'!$G:$G,"Passen"))</f>
        <v/>
      </c>
      <c r="K165" s="11" t="str">
        <f t="shared" si="5"/>
        <v/>
      </c>
      <c r="L165" t="str">
        <f>IF(D165="","",IFERROR(INDEX('Loot History'!$I:$I,MATCH(D165,'Loot History'!$A:$A,0)),""))</f>
        <v/>
      </c>
    </row>
    <row r="166" spans="5:12" x14ac:dyDescent="0.25">
      <c r="E166" s="11" t="str">
        <f>IF(D166="","",COUNTIF('Loot History'!$A:$A,D166))</f>
        <v/>
      </c>
      <c r="F166" s="11" t="str">
        <f>IF(D166="","",COUNTIFS('Loot History'!$A:$A,D166,'Loot History'!$G:$G,"BiS"))</f>
        <v/>
      </c>
      <c r="G166" s="11" t="str">
        <f>IF(D166="","",COUNTIFS('Loot History'!$A:$A,D166,'Loot History'!$G:$G,"2nd BiS"))</f>
        <v/>
      </c>
      <c r="H166" s="11" t="str">
        <f>IF(D166="","",COUNTIFS('Loot History'!$A:$A,D166,'Loot History'!$G:$G,"Upgrade"))</f>
        <v/>
      </c>
      <c r="I166" s="11" t="str">
        <f>IF(D166="","",COUNTIFS('Loot History'!$A:$A,D166,'Loot History'!$G:$G,"Offspecc"))</f>
        <v/>
      </c>
      <c r="J166" s="11" t="str">
        <f>IF(D166="","",COUNTIFS('Loot History'!$A:$A,D166,'Loot History'!$G:$G,"Passen"))</f>
        <v/>
      </c>
      <c r="K166" s="11" t="str">
        <f t="shared" si="5"/>
        <v/>
      </c>
      <c r="L166" t="str">
        <f>IF(D166="","",IFERROR(INDEX('Loot History'!$I:$I,MATCH(D166,'Loot History'!$A:$A,0)),""))</f>
        <v/>
      </c>
    </row>
    <row r="167" spans="5:12" x14ac:dyDescent="0.25">
      <c r="E167" s="11" t="str">
        <f>IF(D167="","",COUNTIF('Loot History'!$A:$A,D167))</f>
        <v/>
      </c>
      <c r="F167" s="11" t="str">
        <f>IF(D167="","",COUNTIFS('Loot History'!$A:$A,D167,'Loot History'!$G:$G,"BiS"))</f>
        <v/>
      </c>
      <c r="G167" s="11" t="str">
        <f>IF(D167="","",COUNTIFS('Loot History'!$A:$A,D167,'Loot History'!$G:$G,"2nd BiS"))</f>
        <v/>
      </c>
      <c r="H167" s="11" t="str">
        <f>IF(D167="","",COUNTIFS('Loot History'!$A:$A,D167,'Loot History'!$G:$G,"Upgrade"))</f>
        <v/>
      </c>
      <c r="I167" s="11" t="str">
        <f>IF(D167="","",COUNTIFS('Loot History'!$A:$A,D167,'Loot History'!$G:$G,"Offspecc"))</f>
        <v/>
      </c>
      <c r="J167" s="11" t="str">
        <f>IF(D167="","",COUNTIFS('Loot History'!$A:$A,D167,'Loot History'!$G:$G,"Passen"))</f>
        <v/>
      </c>
      <c r="K167" s="11" t="str">
        <f t="shared" si="5"/>
        <v/>
      </c>
      <c r="L167" t="str">
        <f>IF(D167="","",IFERROR(INDEX('Loot History'!$I:$I,MATCH(D167,'Loot History'!$A:$A,0)),""))</f>
        <v/>
      </c>
    </row>
    <row r="168" spans="5:12" x14ac:dyDescent="0.25">
      <c r="E168" s="11" t="str">
        <f>IF(D168="","",COUNTIF('Loot History'!$A:$A,D168))</f>
        <v/>
      </c>
      <c r="F168" s="11" t="str">
        <f>IF(D168="","",COUNTIFS('Loot History'!$A:$A,D168,'Loot History'!$G:$G,"BiS"))</f>
        <v/>
      </c>
      <c r="G168" s="11" t="str">
        <f>IF(D168="","",COUNTIFS('Loot History'!$A:$A,D168,'Loot History'!$G:$G,"2nd BiS"))</f>
        <v/>
      </c>
      <c r="H168" s="11" t="str">
        <f>IF(D168="","",COUNTIFS('Loot History'!$A:$A,D168,'Loot History'!$G:$G,"Upgrade"))</f>
        <v/>
      </c>
      <c r="I168" s="11" t="str">
        <f>IF(D168="","",COUNTIFS('Loot History'!$A:$A,D168,'Loot History'!$G:$G,"Offspecc"))</f>
        <v/>
      </c>
      <c r="J168" s="11" t="str">
        <f>IF(D168="","",COUNTIFS('Loot History'!$A:$A,D168,'Loot History'!$G:$G,"Passen"))</f>
        <v/>
      </c>
      <c r="K168" s="11" t="str">
        <f t="shared" si="5"/>
        <v/>
      </c>
      <c r="L168" t="str">
        <f>IF(D168="","",IFERROR(INDEX('Loot History'!$I:$I,MATCH(D168,'Loot History'!$A:$A,0)),""))</f>
        <v/>
      </c>
    </row>
    <row r="169" spans="5:12" x14ac:dyDescent="0.25">
      <c r="E169" s="11" t="str">
        <f>IF(D169="","",COUNTIF('Loot History'!$A:$A,D169))</f>
        <v/>
      </c>
      <c r="F169" s="11" t="str">
        <f>IF(D169="","",COUNTIFS('Loot History'!$A:$A,D169,'Loot History'!$G:$G,"BiS"))</f>
        <v/>
      </c>
      <c r="G169" s="11" t="str">
        <f>IF(D169="","",COUNTIFS('Loot History'!$A:$A,D169,'Loot History'!$G:$G,"2nd BiS"))</f>
        <v/>
      </c>
      <c r="H169" s="11" t="str">
        <f>IF(D169="","",COUNTIFS('Loot History'!$A:$A,D169,'Loot History'!$G:$G,"Upgrade"))</f>
        <v/>
      </c>
      <c r="I169" s="11" t="str">
        <f>IF(D169="","",COUNTIFS('Loot History'!$A:$A,D169,'Loot History'!$G:$G,"Offspecc"))</f>
        <v/>
      </c>
      <c r="J169" s="11" t="str">
        <f>IF(D169="","",COUNTIFS('Loot History'!$A:$A,D169,'Loot History'!$G:$G,"Passen"))</f>
        <v/>
      </c>
      <c r="K169" s="11" t="str">
        <f t="shared" si="5"/>
        <v/>
      </c>
      <c r="L169" t="str">
        <f>IF(D169="","",IFERROR(INDEX('Loot History'!$I:$I,MATCH(D169,'Loot History'!$A:$A,0)),""))</f>
        <v/>
      </c>
    </row>
    <row r="170" spans="5:12" x14ac:dyDescent="0.25">
      <c r="E170" s="11" t="str">
        <f>IF(D170="","",COUNTIF('Loot History'!$A:$A,D170))</f>
        <v/>
      </c>
      <c r="F170" s="11" t="str">
        <f>IF(D170="","",COUNTIFS('Loot History'!$A:$A,D170,'Loot History'!$G:$G,"BiS"))</f>
        <v/>
      </c>
      <c r="G170" s="11" t="str">
        <f>IF(D170="","",COUNTIFS('Loot History'!$A:$A,D170,'Loot History'!$G:$G,"2nd BiS"))</f>
        <v/>
      </c>
      <c r="H170" s="11" t="str">
        <f>IF(D170="","",COUNTIFS('Loot History'!$A:$A,D170,'Loot History'!$G:$G,"Upgrade"))</f>
        <v/>
      </c>
      <c r="I170" s="11" t="str">
        <f>IF(D170="","",COUNTIFS('Loot History'!$A:$A,D170,'Loot History'!$G:$G,"Offspecc"))</f>
        <v/>
      </c>
      <c r="J170" s="11" t="str">
        <f>IF(D170="","",COUNTIFS('Loot History'!$A:$A,D170,'Loot History'!$G:$G,"Passen"))</f>
        <v/>
      </c>
      <c r="K170" s="11" t="str">
        <f t="shared" si="5"/>
        <v/>
      </c>
      <c r="L170" t="str">
        <f>IF(D170="","",IFERROR(INDEX('Loot History'!$I:$I,MATCH(D170,'Loot History'!$A:$A,0)),""))</f>
        <v/>
      </c>
    </row>
    <row r="171" spans="5:12" x14ac:dyDescent="0.25">
      <c r="E171" s="11" t="str">
        <f>IF(D171="","",COUNTIF('Loot History'!$A:$A,D171))</f>
        <v/>
      </c>
      <c r="F171" s="11" t="str">
        <f>IF(D171="","",COUNTIFS('Loot History'!$A:$A,D171,'Loot History'!$G:$G,"BiS"))</f>
        <v/>
      </c>
      <c r="G171" s="11" t="str">
        <f>IF(D171="","",COUNTIFS('Loot History'!$A:$A,D171,'Loot History'!$G:$G,"2nd BiS"))</f>
        <v/>
      </c>
      <c r="H171" s="11" t="str">
        <f>IF(D171="","",COUNTIFS('Loot History'!$A:$A,D171,'Loot History'!$G:$G,"Upgrade"))</f>
        <v/>
      </c>
      <c r="I171" s="11" t="str">
        <f>IF(D171="","",COUNTIFS('Loot History'!$A:$A,D171,'Loot History'!$G:$G,"Offspecc"))</f>
        <v/>
      </c>
      <c r="J171" s="11" t="str">
        <f>IF(D171="","",COUNTIFS('Loot History'!$A:$A,D171,'Loot History'!$G:$G,"Passen"))</f>
        <v/>
      </c>
      <c r="K171" s="11" t="str">
        <f t="shared" si="5"/>
        <v/>
      </c>
      <c r="L171" t="str">
        <f>IF(D171="","",IFERROR(INDEX('Loot History'!$I:$I,MATCH(D171,'Loot History'!$A:$A,0)),""))</f>
        <v/>
      </c>
    </row>
    <row r="172" spans="5:12" x14ac:dyDescent="0.25">
      <c r="E172" s="11" t="str">
        <f>IF(D172="","",COUNTIF('Loot History'!$A:$A,D172))</f>
        <v/>
      </c>
      <c r="F172" s="11" t="str">
        <f>IF(D172="","",COUNTIFS('Loot History'!$A:$A,D172,'Loot History'!$G:$G,"BiS"))</f>
        <v/>
      </c>
      <c r="G172" s="11" t="str">
        <f>IF(D172="","",COUNTIFS('Loot History'!$A:$A,D172,'Loot History'!$G:$G,"2nd BiS"))</f>
        <v/>
      </c>
      <c r="H172" s="11" t="str">
        <f>IF(D172="","",COUNTIFS('Loot History'!$A:$A,D172,'Loot History'!$G:$G,"Upgrade"))</f>
        <v/>
      </c>
      <c r="I172" s="11" t="str">
        <f>IF(D172="","",COUNTIFS('Loot History'!$A:$A,D172,'Loot History'!$G:$G,"Offspecc"))</f>
        <v/>
      </c>
      <c r="J172" s="11" t="str">
        <f>IF(D172="","",COUNTIFS('Loot History'!$A:$A,D172,'Loot History'!$G:$G,"Passen"))</f>
        <v/>
      </c>
      <c r="K172" s="11" t="str">
        <f t="shared" si="5"/>
        <v/>
      </c>
      <c r="L172" t="str">
        <f>IF(D172="","",IFERROR(INDEX('Loot History'!$I:$I,MATCH(D172,'Loot History'!$A:$A,0)),""))</f>
        <v/>
      </c>
    </row>
    <row r="173" spans="5:12" x14ac:dyDescent="0.25">
      <c r="E173" s="11" t="str">
        <f>IF(D173="","",COUNTIF('Loot History'!$A:$A,D173))</f>
        <v/>
      </c>
      <c r="F173" s="11" t="str">
        <f>IF(D173="","",COUNTIFS('Loot History'!$A:$A,D173,'Loot History'!$G:$G,"BiS"))</f>
        <v/>
      </c>
      <c r="G173" s="11" t="str">
        <f>IF(D173="","",COUNTIFS('Loot History'!$A:$A,D173,'Loot History'!$G:$G,"2nd BiS"))</f>
        <v/>
      </c>
      <c r="H173" s="11" t="str">
        <f>IF(D173="","",COUNTIFS('Loot History'!$A:$A,D173,'Loot History'!$G:$G,"Upgrade"))</f>
        <v/>
      </c>
      <c r="I173" s="11" t="str">
        <f>IF(D173="","",COUNTIFS('Loot History'!$A:$A,D173,'Loot History'!$G:$G,"Offspecc"))</f>
        <v/>
      </c>
      <c r="J173" s="11" t="str">
        <f>IF(D173="","",COUNTIFS('Loot History'!$A:$A,D173,'Loot History'!$G:$G,"Passen"))</f>
        <v/>
      </c>
      <c r="K173" s="11" t="str">
        <f t="shared" ref="K173:K202" si="6">IF(D173="","",IFERROR(E173-F173-G173-H173-I173-J173,0))</f>
        <v/>
      </c>
      <c r="L173" t="str">
        <f>IF(D173="","",IFERROR(INDEX('Loot History'!$I:$I,MATCH(D173,'Loot History'!$A:$A,0)),""))</f>
        <v/>
      </c>
    </row>
    <row r="174" spans="5:12" x14ac:dyDescent="0.25">
      <c r="E174" s="11" t="str">
        <f>IF(D174="","",COUNTIF('Loot History'!$A:$A,D174))</f>
        <v/>
      </c>
      <c r="F174" s="11" t="str">
        <f>IF(D174="","",COUNTIFS('Loot History'!$A:$A,D174,'Loot History'!$G:$G,"BiS"))</f>
        <v/>
      </c>
      <c r="G174" s="11" t="str">
        <f>IF(D174="","",COUNTIFS('Loot History'!$A:$A,D174,'Loot History'!$G:$G,"2nd BiS"))</f>
        <v/>
      </c>
      <c r="H174" s="11" t="str">
        <f>IF(D174="","",COUNTIFS('Loot History'!$A:$A,D174,'Loot History'!$G:$G,"Upgrade"))</f>
        <v/>
      </c>
      <c r="I174" s="11" t="str">
        <f>IF(D174="","",COUNTIFS('Loot History'!$A:$A,D174,'Loot History'!$G:$G,"Offspecc"))</f>
        <v/>
      </c>
      <c r="J174" s="11" t="str">
        <f>IF(D174="","",COUNTIFS('Loot History'!$A:$A,D174,'Loot History'!$G:$G,"Passen"))</f>
        <v/>
      </c>
      <c r="K174" s="11" t="str">
        <f t="shared" si="6"/>
        <v/>
      </c>
      <c r="L174" t="str">
        <f>IF(D174="","",IFERROR(INDEX('Loot History'!$I:$I,MATCH(D174,'Loot History'!$A:$A,0)),""))</f>
        <v/>
      </c>
    </row>
    <row r="175" spans="5:12" x14ac:dyDescent="0.25">
      <c r="E175" s="11" t="str">
        <f>IF(D175="","",COUNTIF('Loot History'!$A:$A,D175))</f>
        <v/>
      </c>
      <c r="F175" s="11" t="str">
        <f>IF(D175="","",COUNTIFS('Loot History'!$A:$A,D175,'Loot History'!$G:$G,"BiS"))</f>
        <v/>
      </c>
      <c r="G175" s="11" t="str">
        <f>IF(D175="","",COUNTIFS('Loot History'!$A:$A,D175,'Loot History'!$G:$G,"2nd BiS"))</f>
        <v/>
      </c>
      <c r="H175" s="11" t="str">
        <f>IF(D175="","",COUNTIFS('Loot History'!$A:$A,D175,'Loot History'!$G:$G,"Upgrade"))</f>
        <v/>
      </c>
      <c r="I175" s="11" t="str">
        <f>IF(D175="","",COUNTIFS('Loot History'!$A:$A,D175,'Loot History'!$G:$G,"Offspecc"))</f>
        <v/>
      </c>
      <c r="J175" s="11" t="str">
        <f>IF(D175="","",COUNTIFS('Loot History'!$A:$A,D175,'Loot History'!$G:$G,"Passen"))</f>
        <v/>
      </c>
      <c r="K175" s="11" t="str">
        <f t="shared" si="6"/>
        <v/>
      </c>
      <c r="L175" t="str">
        <f>IF(D175="","",IFERROR(INDEX('Loot History'!$I:$I,MATCH(D175,'Loot History'!$A:$A,0)),""))</f>
        <v/>
      </c>
    </row>
    <row r="176" spans="5:12" x14ac:dyDescent="0.25">
      <c r="E176" s="11" t="str">
        <f>IF(D176="","",COUNTIF('Loot History'!$A:$A,D176))</f>
        <v/>
      </c>
      <c r="F176" s="11" t="str">
        <f>IF(D176="","",COUNTIFS('Loot History'!$A:$A,D176,'Loot History'!$G:$G,"BiS"))</f>
        <v/>
      </c>
      <c r="G176" s="11" t="str">
        <f>IF(D176="","",COUNTIFS('Loot History'!$A:$A,D176,'Loot History'!$G:$G,"2nd BiS"))</f>
        <v/>
      </c>
      <c r="H176" s="11" t="str">
        <f>IF(D176="","",COUNTIFS('Loot History'!$A:$A,D176,'Loot History'!$G:$G,"Upgrade"))</f>
        <v/>
      </c>
      <c r="I176" s="11" t="str">
        <f>IF(D176="","",COUNTIFS('Loot History'!$A:$A,D176,'Loot History'!$G:$G,"Offspecc"))</f>
        <v/>
      </c>
      <c r="J176" s="11" t="str">
        <f>IF(D176="","",COUNTIFS('Loot History'!$A:$A,D176,'Loot History'!$G:$G,"Passen"))</f>
        <v/>
      </c>
      <c r="K176" s="11" t="str">
        <f t="shared" si="6"/>
        <v/>
      </c>
      <c r="L176" t="str">
        <f>IF(D176="","",IFERROR(INDEX('Loot History'!$I:$I,MATCH(D176,'Loot History'!$A:$A,0)),""))</f>
        <v/>
      </c>
    </row>
    <row r="177" spans="5:12" x14ac:dyDescent="0.25">
      <c r="E177" s="11" t="str">
        <f>IF(D177="","",COUNTIF('Loot History'!$A:$A,D177))</f>
        <v/>
      </c>
      <c r="F177" s="11" t="str">
        <f>IF(D177="","",COUNTIFS('Loot History'!$A:$A,D177,'Loot History'!$G:$G,"BiS"))</f>
        <v/>
      </c>
      <c r="G177" s="11" t="str">
        <f>IF(D177="","",COUNTIFS('Loot History'!$A:$A,D177,'Loot History'!$G:$G,"2nd BiS"))</f>
        <v/>
      </c>
      <c r="H177" s="11" t="str">
        <f>IF(D177="","",COUNTIFS('Loot History'!$A:$A,D177,'Loot History'!$G:$G,"Upgrade"))</f>
        <v/>
      </c>
      <c r="I177" s="11" t="str">
        <f>IF(D177="","",COUNTIFS('Loot History'!$A:$A,D177,'Loot History'!$G:$G,"Offspecc"))</f>
        <v/>
      </c>
      <c r="J177" s="11" t="str">
        <f>IF(D177="","",COUNTIFS('Loot History'!$A:$A,D177,'Loot History'!$G:$G,"Passen"))</f>
        <v/>
      </c>
      <c r="K177" s="11" t="str">
        <f t="shared" si="6"/>
        <v/>
      </c>
      <c r="L177" t="str">
        <f>IF(D177="","",IFERROR(INDEX('Loot History'!$I:$I,MATCH(D177,'Loot History'!$A:$A,0)),""))</f>
        <v/>
      </c>
    </row>
    <row r="178" spans="5:12" x14ac:dyDescent="0.25">
      <c r="E178" s="11" t="str">
        <f>IF(D178="","",COUNTIF('Loot History'!$A:$A,D178))</f>
        <v/>
      </c>
      <c r="F178" s="11" t="str">
        <f>IF(D178="","",COUNTIFS('Loot History'!$A:$A,D178,'Loot History'!$G:$G,"BiS"))</f>
        <v/>
      </c>
      <c r="G178" s="11" t="str">
        <f>IF(D178="","",COUNTIFS('Loot History'!$A:$A,D178,'Loot History'!$G:$G,"2nd BiS"))</f>
        <v/>
      </c>
      <c r="H178" s="11" t="str">
        <f>IF(D178="","",COUNTIFS('Loot History'!$A:$A,D178,'Loot History'!$G:$G,"Upgrade"))</f>
        <v/>
      </c>
      <c r="I178" s="11" t="str">
        <f>IF(D178="","",COUNTIFS('Loot History'!$A:$A,D178,'Loot History'!$G:$G,"Offspecc"))</f>
        <v/>
      </c>
      <c r="J178" s="11" t="str">
        <f>IF(D178="","",COUNTIFS('Loot History'!$A:$A,D178,'Loot History'!$G:$G,"Passen"))</f>
        <v/>
      </c>
      <c r="K178" s="11" t="str">
        <f t="shared" si="6"/>
        <v/>
      </c>
      <c r="L178" t="str">
        <f>IF(D178="","",IFERROR(INDEX('Loot History'!$I:$I,MATCH(D178,'Loot History'!$A:$A,0)),""))</f>
        <v/>
      </c>
    </row>
    <row r="179" spans="5:12" x14ac:dyDescent="0.25">
      <c r="E179" s="11" t="str">
        <f>IF(D179="","",COUNTIF('Loot History'!$A:$A,D179))</f>
        <v/>
      </c>
      <c r="F179" s="11" t="str">
        <f>IF(D179="","",COUNTIFS('Loot History'!$A:$A,D179,'Loot History'!$G:$G,"BiS"))</f>
        <v/>
      </c>
      <c r="G179" s="11" t="str">
        <f>IF(D179="","",COUNTIFS('Loot History'!$A:$A,D179,'Loot History'!$G:$G,"2nd BiS"))</f>
        <v/>
      </c>
      <c r="H179" s="11" t="str">
        <f>IF(D179="","",COUNTIFS('Loot History'!$A:$A,D179,'Loot History'!$G:$G,"Upgrade"))</f>
        <v/>
      </c>
      <c r="I179" s="11" t="str">
        <f>IF(D179="","",COUNTIFS('Loot History'!$A:$A,D179,'Loot History'!$G:$G,"Offspecc"))</f>
        <v/>
      </c>
      <c r="J179" s="11" t="str">
        <f>IF(D179="","",COUNTIFS('Loot History'!$A:$A,D179,'Loot History'!$G:$G,"Passen"))</f>
        <v/>
      </c>
      <c r="K179" s="11" t="str">
        <f t="shared" si="6"/>
        <v/>
      </c>
      <c r="L179" t="str">
        <f>IF(D179="","",IFERROR(INDEX('Loot History'!$I:$I,MATCH(D179,'Loot History'!$A:$A,0)),""))</f>
        <v/>
      </c>
    </row>
    <row r="180" spans="5:12" x14ac:dyDescent="0.25">
      <c r="E180" s="11" t="str">
        <f>IF(D180="","",COUNTIF('Loot History'!$A:$A,D180))</f>
        <v/>
      </c>
      <c r="F180" s="11" t="str">
        <f>IF(D180="","",COUNTIFS('Loot History'!$A:$A,D180,'Loot History'!$G:$G,"BiS"))</f>
        <v/>
      </c>
      <c r="G180" s="11" t="str">
        <f>IF(D180="","",COUNTIFS('Loot History'!$A:$A,D180,'Loot History'!$G:$G,"2nd BiS"))</f>
        <v/>
      </c>
      <c r="H180" s="11" t="str">
        <f>IF(D180="","",COUNTIFS('Loot History'!$A:$A,D180,'Loot History'!$G:$G,"Upgrade"))</f>
        <v/>
      </c>
      <c r="I180" s="11" t="str">
        <f>IF(D180="","",COUNTIFS('Loot History'!$A:$A,D180,'Loot History'!$G:$G,"Offspecc"))</f>
        <v/>
      </c>
      <c r="J180" s="11" t="str">
        <f>IF(D180="","",COUNTIFS('Loot History'!$A:$A,D180,'Loot History'!$G:$G,"Passen"))</f>
        <v/>
      </c>
      <c r="K180" s="11" t="str">
        <f t="shared" si="6"/>
        <v/>
      </c>
      <c r="L180" t="str">
        <f>IF(D180="","",IFERROR(INDEX('Loot History'!$I:$I,MATCH(D180,'Loot History'!$A:$A,0)),""))</f>
        <v/>
      </c>
    </row>
    <row r="181" spans="5:12" x14ac:dyDescent="0.25">
      <c r="E181" s="11" t="str">
        <f>IF(D181="","",COUNTIF('Loot History'!$A:$A,D181))</f>
        <v/>
      </c>
      <c r="F181" s="11" t="str">
        <f>IF(D181="","",COUNTIFS('Loot History'!$A:$A,D181,'Loot History'!$G:$G,"BiS"))</f>
        <v/>
      </c>
      <c r="G181" s="11" t="str">
        <f>IF(D181="","",COUNTIFS('Loot History'!$A:$A,D181,'Loot History'!$G:$G,"2nd BiS"))</f>
        <v/>
      </c>
      <c r="H181" s="11" t="str">
        <f>IF(D181="","",COUNTIFS('Loot History'!$A:$A,D181,'Loot History'!$G:$G,"Upgrade"))</f>
        <v/>
      </c>
      <c r="I181" s="11" t="str">
        <f>IF(D181="","",COUNTIFS('Loot History'!$A:$A,D181,'Loot History'!$G:$G,"Offspecc"))</f>
        <v/>
      </c>
      <c r="J181" s="11" t="str">
        <f>IF(D181="","",COUNTIFS('Loot History'!$A:$A,D181,'Loot History'!$G:$G,"Passen"))</f>
        <v/>
      </c>
      <c r="K181" s="11" t="str">
        <f t="shared" si="6"/>
        <v/>
      </c>
      <c r="L181" t="str">
        <f>IF(D181="","",IFERROR(INDEX('Loot History'!$I:$I,MATCH(D181,'Loot History'!$A:$A,0)),""))</f>
        <v/>
      </c>
    </row>
    <row r="182" spans="5:12" x14ac:dyDescent="0.25">
      <c r="E182" s="11" t="str">
        <f>IF(D182="","",COUNTIF('Loot History'!$A:$A,D182))</f>
        <v/>
      </c>
      <c r="F182" s="11" t="str">
        <f>IF(D182="","",COUNTIFS('Loot History'!$A:$A,D182,'Loot History'!$G:$G,"BiS"))</f>
        <v/>
      </c>
      <c r="G182" s="11" t="str">
        <f>IF(D182="","",COUNTIFS('Loot History'!$A:$A,D182,'Loot History'!$G:$G,"2nd BiS"))</f>
        <v/>
      </c>
      <c r="H182" s="11" t="str">
        <f>IF(D182="","",COUNTIFS('Loot History'!$A:$A,D182,'Loot History'!$G:$G,"Upgrade"))</f>
        <v/>
      </c>
      <c r="I182" s="11" t="str">
        <f>IF(D182="","",COUNTIFS('Loot History'!$A:$A,D182,'Loot History'!$G:$G,"Offspecc"))</f>
        <v/>
      </c>
      <c r="J182" s="11" t="str">
        <f>IF(D182="","",COUNTIFS('Loot History'!$A:$A,D182,'Loot History'!$G:$G,"Passen"))</f>
        <v/>
      </c>
      <c r="K182" s="11" t="str">
        <f t="shared" si="6"/>
        <v/>
      </c>
      <c r="L182" t="str">
        <f>IF(D182="","",IFERROR(INDEX('Loot History'!$I:$I,MATCH(D182,'Loot History'!$A:$A,0)),""))</f>
        <v/>
      </c>
    </row>
    <row r="183" spans="5:12" x14ac:dyDescent="0.25">
      <c r="E183" s="11" t="str">
        <f>IF(D183="","",COUNTIF('Loot History'!$A:$A,D183))</f>
        <v/>
      </c>
      <c r="F183" s="11" t="str">
        <f>IF(D183="","",COUNTIFS('Loot History'!$A:$A,D183,'Loot History'!$G:$G,"BiS"))</f>
        <v/>
      </c>
      <c r="G183" s="11" t="str">
        <f>IF(D183="","",COUNTIFS('Loot History'!$A:$A,D183,'Loot History'!$G:$G,"2nd BiS"))</f>
        <v/>
      </c>
      <c r="H183" s="11" t="str">
        <f>IF(D183="","",COUNTIFS('Loot History'!$A:$A,D183,'Loot History'!$G:$G,"Upgrade"))</f>
        <v/>
      </c>
      <c r="I183" s="11" t="str">
        <f>IF(D183="","",COUNTIFS('Loot History'!$A:$A,D183,'Loot History'!$G:$G,"Offspecc"))</f>
        <v/>
      </c>
      <c r="J183" s="11" t="str">
        <f>IF(D183="","",COUNTIFS('Loot History'!$A:$A,D183,'Loot History'!$G:$G,"Passen"))</f>
        <v/>
      </c>
      <c r="K183" s="11" t="str">
        <f t="shared" si="6"/>
        <v/>
      </c>
      <c r="L183" t="str">
        <f>IF(D183="","",IFERROR(INDEX('Loot History'!$I:$I,MATCH(D183,'Loot History'!$A:$A,0)),""))</f>
        <v/>
      </c>
    </row>
    <row r="184" spans="5:12" x14ac:dyDescent="0.25">
      <c r="E184" s="11" t="str">
        <f>IF(D184="","",COUNTIF('Loot History'!$A:$A,D184))</f>
        <v/>
      </c>
      <c r="F184" s="11" t="str">
        <f>IF(D184="","",COUNTIFS('Loot History'!$A:$A,D184,'Loot History'!$G:$G,"BiS"))</f>
        <v/>
      </c>
      <c r="G184" s="11" t="str">
        <f>IF(D184="","",COUNTIFS('Loot History'!$A:$A,D184,'Loot History'!$G:$G,"2nd BiS"))</f>
        <v/>
      </c>
      <c r="H184" s="11" t="str">
        <f>IF(D184="","",COUNTIFS('Loot History'!$A:$A,D184,'Loot History'!$G:$G,"Upgrade"))</f>
        <v/>
      </c>
      <c r="I184" s="11" t="str">
        <f>IF(D184="","",COUNTIFS('Loot History'!$A:$A,D184,'Loot History'!$G:$G,"Offspecc"))</f>
        <v/>
      </c>
      <c r="J184" s="11" t="str">
        <f>IF(D184="","",COUNTIFS('Loot History'!$A:$A,D184,'Loot History'!$G:$G,"Passen"))</f>
        <v/>
      </c>
      <c r="K184" s="11" t="str">
        <f t="shared" si="6"/>
        <v/>
      </c>
      <c r="L184" t="str">
        <f>IF(D184="","",IFERROR(INDEX('Loot History'!$I:$I,MATCH(D184,'Loot History'!$A:$A,0)),""))</f>
        <v/>
      </c>
    </row>
    <row r="185" spans="5:12" x14ac:dyDescent="0.25">
      <c r="E185" s="11" t="str">
        <f>IF(D185="","",COUNTIF('Loot History'!$A:$A,D185))</f>
        <v/>
      </c>
      <c r="F185" s="11" t="str">
        <f>IF(D185="","",COUNTIFS('Loot History'!$A:$A,D185,'Loot History'!$G:$G,"BiS"))</f>
        <v/>
      </c>
      <c r="G185" s="11" t="str">
        <f>IF(D185="","",COUNTIFS('Loot History'!$A:$A,D185,'Loot History'!$G:$G,"2nd BiS"))</f>
        <v/>
      </c>
      <c r="H185" s="11" t="str">
        <f>IF(D185="","",COUNTIFS('Loot History'!$A:$A,D185,'Loot History'!$G:$G,"Upgrade"))</f>
        <v/>
      </c>
      <c r="I185" s="11" t="str">
        <f>IF(D185="","",COUNTIFS('Loot History'!$A:$A,D185,'Loot History'!$G:$G,"Offspecc"))</f>
        <v/>
      </c>
      <c r="J185" s="11" t="str">
        <f>IF(D185="","",COUNTIFS('Loot History'!$A:$A,D185,'Loot History'!$G:$G,"Passen"))</f>
        <v/>
      </c>
      <c r="K185" s="11" t="str">
        <f t="shared" si="6"/>
        <v/>
      </c>
      <c r="L185" t="str">
        <f>IF(D185="","",IFERROR(INDEX('Loot History'!$I:$I,MATCH(D185,'Loot History'!$A:$A,0)),""))</f>
        <v/>
      </c>
    </row>
    <row r="186" spans="5:12" x14ac:dyDescent="0.25">
      <c r="E186" s="11" t="str">
        <f>IF(D186="","",COUNTIF('Loot History'!$A:$A,D186))</f>
        <v/>
      </c>
      <c r="F186" s="11" t="str">
        <f>IF(D186="","",COUNTIFS('Loot History'!$A:$A,D186,'Loot History'!$G:$G,"BiS"))</f>
        <v/>
      </c>
      <c r="G186" s="11" t="str">
        <f>IF(D186="","",COUNTIFS('Loot History'!$A:$A,D186,'Loot History'!$G:$G,"2nd BiS"))</f>
        <v/>
      </c>
      <c r="H186" s="11" t="str">
        <f>IF(D186="","",COUNTIFS('Loot History'!$A:$A,D186,'Loot History'!$G:$G,"Upgrade"))</f>
        <v/>
      </c>
      <c r="I186" s="11" t="str">
        <f>IF(D186="","",COUNTIFS('Loot History'!$A:$A,D186,'Loot History'!$G:$G,"Offspecc"))</f>
        <v/>
      </c>
      <c r="J186" s="11" t="str">
        <f>IF(D186="","",COUNTIFS('Loot History'!$A:$A,D186,'Loot History'!$G:$G,"Passen"))</f>
        <v/>
      </c>
      <c r="K186" s="11" t="str">
        <f t="shared" si="6"/>
        <v/>
      </c>
      <c r="L186" t="str">
        <f>IF(D186="","",IFERROR(INDEX('Loot History'!$I:$I,MATCH(D186,'Loot History'!$A:$A,0)),""))</f>
        <v/>
      </c>
    </row>
    <row r="187" spans="5:12" x14ac:dyDescent="0.25">
      <c r="E187" s="11" t="str">
        <f>IF(D187="","",COUNTIF('Loot History'!$A:$A,D187))</f>
        <v/>
      </c>
      <c r="F187" s="11" t="str">
        <f>IF(D187="","",COUNTIFS('Loot History'!$A:$A,D187,'Loot History'!$G:$G,"BiS"))</f>
        <v/>
      </c>
      <c r="G187" s="11" t="str">
        <f>IF(D187="","",COUNTIFS('Loot History'!$A:$A,D187,'Loot History'!$G:$G,"2nd BiS"))</f>
        <v/>
      </c>
      <c r="H187" s="11" t="str">
        <f>IF(D187="","",COUNTIFS('Loot History'!$A:$A,D187,'Loot History'!$G:$G,"Upgrade"))</f>
        <v/>
      </c>
      <c r="I187" s="11" t="str">
        <f>IF(D187="","",COUNTIFS('Loot History'!$A:$A,D187,'Loot History'!$G:$G,"Offspecc"))</f>
        <v/>
      </c>
      <c r="J187" s="11" t="str">
        <f>IF(D187="","",COUNTIFS('Loot History'!$A:$A,D187,'Loot History'!$G:$G,"Passen"))</f>
        <v/>
      </c>
      <c r="K187" s="11" t="str">
        <f t="shared" si="6"/>
        <v/>
      </c>
      <c r="L187" t="str">
        <f>IF(D187="","",IFERROR(INDEX('Loot History'!$I:$I,MATCH(D187,'Loot History'!$A:$A,0)),""))</f>
        <v/>
      </c>
    </row>
    <row r="188" spans="5:12" x14ac:dyDescent="0.25">
      <c r="E188" s="11" t="str">
        <f>IF(D188="","",COUNTIF('Loot History'!$A:$A,D188))</f>
        <v/>
      </c>
      <c r="F188" s="11" t="str">
        <f>IF(D188="","",COUNTIFS('Loot History'!$A:$A,D188,'Loot History'!$G:$G,"BiS"))</f>
        <v/>
      </c>
      <c r="G188" s="11" t="str">
        <f>IF(D188="","",COUNTIFS('Loot History'!$A:$A,D188,'Loot History'!$G:$G,"2nd BiS"))</f>
        <v/>
      </c>
      <c r="H188" s="11" t="str">
        <f>IF(D188="","",COUNTIFS('Loot History'!$A:$A,D188,'Loot History'!$G:$G,"Upgrade"))</f>
        <v/>
      </c>
      <c r="I188" s="11" t="str">
        <f>IF(D188="","",COUNTIFS('Loot History'!$A:$A,D188,'Loot History'!$G:$G,"Offspecc"))</f>
        <v/>
      </c>
      <c r="J188" s="11" t="str">
        <f>IF(D188="","",COUNTIFS('Loot History'!$A:$A,D188,'Loot History'!$G:$G,"Passen"))</f>
        <v/>
      </c>
      <c r="K188" s="11" t="str">
        <f t="shared" si="6"/>
        <v/>
      </c>
      <c r="L188" t="str">
        <f>IF(D188="","",IFERROR(INDEX('Loot History'!$I:$I,MATCH(D188,'Loot History'!$A:$A,0)),""))</f>
        <v/>
      </c>
    </row>
    <row r="189" spans="5:12" x14ac:dyDescent="0.25">
      <c r="E189" s="11" t="str">
        <f>IF(D189="","",COUNTIF('Loot History'!$A:$A,D189))</f>
        <v/>
      </c>
      <c r="F189" s="11" t="str">
        <f>IF(D189="","",COUNTIFS('Loot History'!$A:$A,D189,'Loot History'!$G:$G,"BiS"))</f>
        <v/>
      </c>
      <c r="G189" s="11" t="str">
        <f>IF(D189="","",COUNTIFS('Loot History'!$A:$A,D189,'Loot History'!$G:$G,"2nd BiS"))</f>
        <v/>
      </c>
      <c r="H189" s="11" t="str">
        <f>IF(D189="","",COUNTIFS('Loot History'!$A:$A,D189,'Loot History'!$G:$G,"Upgrade"))</f>
        <v/>
      </c>
      <c r="I189" s="11" t="str">
        <f>IF(D189="","",COUNTIFS('Loot History'!$A:$A,D189,'Loot History'!$G:$G,"Offspecc"))</f>
        <v/>
      </c>
      <c r="J189" s="11" t="str">
        <f>IF(D189="","",COUNTIFS('Loot History'!$A:$A,D189,'Loot History'!$G:$G,"Passen"))</f>
        <v/>
      </c>
      <c r="K189" s="11" t="str">
        <f t="shared" si="6"/>
        <v/>
      </c>
      <c r="L189" t="str">
        <f>IF(D189="","",IFERROR(INDEX('Loot History'!$I:$I,MATCH(D189,'Loot History'!$A:$A,0)),""))</f>
        <v/>
      </c>
    </row>
    <row r="190" spans="5:12" x14ac:dyDescent="0.25">
      <c r="E190" s="11" t="str">
        <f>IF(D190="","",COUNTIF('Loot History'!$A:$A,D190))</f>
        <v/>
      </c>
      <c r="F190" s="11" t="str">
        <f>IF(D190="","",COUNTIFS('Loot History'!$A:$A,D190,'Loot History'!$G:$G,"BiS"))</f>
        <v/>
      </c>
      <c r="G190" s="11" t="str">
        <f>IF(D190="","",COUNTIFS('Loot History'!$A:$A,D190,'Loot History'!$G:$G,"2nd BiS"))</f>
        <v/>
      </c>
      <c r="H190" s="11" t="str">
        <f>IF(D190="","",COUNTIFS('Loot History'!$A:$A,D190,'Loot History'!$G:$G,"Upgrade"))</f>
        <v/>
      </c>
      <c r="I190" s="11" t="str">
        <f>IF(D190="","",COUNTIFS('Loot History'!$A:$A,D190,'Loot History'!$G:$G,"Offspecc"))</f>
        <v/>
      </c>
      <c r="J190" s="11" t="str">
        <f>IF(D190="","",COUNTIFS('Loot History'!$A:$A,D190,'Loot History'!$G:$G,"Passen"))</f>
        <v/>
      </c>
      <c r="K190" s="11" t="str">
        <f t="shared" si="6"/>
        <v/>
      </c>
      <c r="L190" t="str">
        <f>IF(D190="","",IFERROR(INDEX('Loot History'!$I:$I,MATCH(D190,'Loot History'!$A:$A,0)),""))</f>
        <v/>
      </c>
    </row>
    <row r="191" spans="5:12" x14ac:dyDescent="0.25">
      <c r="E191" s="11" t="str">
        <f>IF(D191="","",COUNTIF('Loot History'!$A:$A,D191))</f>
        <v/>
      </c>
      <c r="F191" s="11" t="str">
        <f>IF(D191="","",COUNTIFS('Loot History'!$A:$A,D191,'Loot History'!$G:$G,"BiS"))</f>
        <v/>
      </c>
      <c r="G191" s="11" t="str">
        <f>IF(D191="","",COUNTIFS('Loot History'!$A:$A,D191,'Loot History'!$G:$G,"2nd BiS"))</f>
        <v/>
      </c>
      <c r="H191" s="11" t="str">
        <f>IF(D191="","",COUNTIFS('Loot History'!$A:$A,D191,'Loot History'!$G:$G,"Upgrade"))</f>
        <v/>
      </c>
      <c r="I191" s="11" t="str">
        <f>IF(D191="","",COUNTIFS('Loot History'!$A:$A,D191,'Loot History'!$G:$G,"Offspecc"))</f>
        <v/>
      </c>
      <c r="J191" s="11" t="str">
        <f>IF(D191="","",COUNTIFS('Loot History'!$A:$A,D191,'Loot History'!$G:$G,"Passen"))</f>
        <v/>
      </c>
      <c r="K191" s="11" t="str">
        <f t="shared" si="6"/>
        <v/>
      </c>
      <c r="L191" t="str">
        <f>IF(D191="","",IFERROR(INDEX('Loot History'!$I:$I,MATCH(D191,'Loot History'!$A:$A,0)),""))</f>
        <v/>
      </c>
    </row>
    <row r="192" spans="5:12" x14ac:dyDescent="0.25">
      <c r="E192" s="11" t="str">
        <f>IF(D192="","",COUNTIF('Loot History'!$A:$A,D192))</f>
        <v/>
      </c>
      <c r="F192" s="11" t="str">
        <f>IF(D192="","",COUNTIFS('Loot History'!$A:$A,D192,'Loot History'!$G:$G,"BiS"))</f>
        <v/>
      </c>
      <c r="G192" s="11" t="str">
        <f>IF(D192="","",COUNTIFS('Loot History'!$A:$A,D192,'Loot History'!$G:$G,"2nd BiS"))</f>
        <v/>
      </c>
      <c r="H192" s="11" t="str">
        <f>IF(D192="","",COUNTIFS('Loot History'!$A:$A,D192,'Loot History'!$G:$G,"Upgrade"))</f>
        <v/>
      </c>
      <c r="I192" s="11" t="str">
        <f>IF(D192="","",COUNTIFS('Loot History'!$A:$A,D192,'Loot History'!$G:$G,"Offspecc"))</f>
        <v/>
      </c>
      <c r="J192" s="11" t="str">
        <f>IF(D192="","",COUNTIFS('Loot History'!$A:$A,D192,'Loot History'!$G:$G,"Passen"))</f>
        <v/>
      </c>
      <c r="K192" s="11" t="str">
        <f t="shared" si="6"/>
        <v/>
      </c>
      <c r="L192" t="str">
        <f>IF(D192="","",IFERROR(INDEX('Loot History'!$I:$I,MATCH(D192,'Loot History'!$A:$A,0)),""))</f>
        <v/>
      </c>
    </row>
    <row r="193" spans="5:37" x14ac:dyDescent="0.25">
      <c r="E193" s="11" t="str">
        <f>IF(D193="","",COUNTIF('Loot History'!$A:$A,D193))</f>
        <v/>
      </c>
      <c r="F193" s="11" t="str">
        <f>IF(D193="","",COUNTIFS('Loot History'!$A:$A,D193,'Loot History'!$G:$G,"BiS"))</f>
        <v/>
      </c>
      <c r="G193" s="11" t="str">
        <f>IF(D193="","",COUNTIFS('Loot History'!$A:$A,D193,'Loot History'!$G:$G,"2nd BiS"))</f>
        <v/>
      </c>
      <c r="H193" s="11" t="str">
        <f>IF(D193="","",COUNTIFS('Loot History'!$A:$A,D193,'Loot History'!$G:$G,"Upgrade"))</f>
        <v/>
      </c>
      <c r="I193" s="11" t="str">
        <f>IF(D193="","",COUNTIFS('Loot History'!$A:$A,D193,'Loot History'!$G:$G,"Offspecc"))</f>
        <v/>
      </c>
      <c r="J193" s="11" t="str">
        <f>IF(D193="","",COUNTIFS('Loot History'!$A:$A,D193,'Loot History'!$G:$G,"Passen"))</f>
        <v/>
      </c>
      <c r="K193" s="11" t="str">
        <f t="shared" si="6"/>
        <v/>
      </c>
      <c r="L193" t="str">
        <f>IF(D193="","",IFERROR(INDEX('Loot History'!$I:$I,MATCH(D193,'Loot History'!$A:$A,0)),""))</f>
        <v/>
      </c>
    </row>
    <row r="194" spans="5:37" x14ac:dyDescent="0.25">
      <c r="E194" s="11" t="str">
        <f>IF(D194="","",COUNTIF('Loot History'!$A:$A,D194))</f>
        <v/>
      </c>
      <c r="F194" s="11" t="str">
        <f>IF(D194="","",COUNTIFS('Loot History'!$A:$A,D194,'Loot History'!$G:$G,"BiS"))</f>
        <v/>
      </c>
      <c r="G194" s="11" t="str">
        <f>IF(D194="","",COUNTIFS('Loot History'!$A:$A,D194,'Loot History'!$G:$G,"2nd BiS"))</f>
        <v/>
      </c>
      <c r="H194" s="11" t="str">
        <f>IF(D194="","",COUNTIFS('Loot History'!$A:$A,D194,'Loot History'!$G:$G,"Upgrade"))</f>
        <v/>
      </c>
      <c r="I194" s="11" t="str">
        <f>IF(D194="","",COUNTIFS('Loot History'!$A:$A,D194,'Loot History'!$G:$G,"Offspecc"))</f>
        <v/>
      </c>
      <c r="J194" s="11" t="str">
        <f>IF(D194="","",COUNTIFS('Loot History'!$A:$A,D194,'Loot History'!$G:$G,"Passen"))</f>
        <v/>
      </c>
      <c r="K194" s="11" t="str">
        <f t="shared" si="6"/>
        <v/>
      </c>
      <c r="L194" t="str">
        <f>IF(D194="","",IFERROR(INDEX('Loot History'!$I:$I,MATCH(D194,'Loot History'!$A:$A,0)),""))</f>
        <v/>
      </c>
    </row>
    <row r="195" spans="5:37" x14ac:dyDescent="0.25">
      <c r="E195" s="11" t="str">
        <f>IF(D195="","",COUNTIF('Loot History'!$A:$A,D195))</f>
        <v/>
      </c>
      <c r="F195" s="11" t="str">
        <f>IF(D195="","",COUNTIFS('Loot History'!$A:$A,D195,'Loot History'!$G:$G,"BiS"))</f>
        <v/>
      </c>
      <c r="G195" s="11" t="str">
        <f>IF(D195="","",COUNTIFS('Loot History'!$A:$A,D195,'Loot History'!$G:$G,"2nd BiS"))</f>
        <v/>
      </c>
      <c r="H195" s="11" t="str">
        <f>IF(D195="","",COUNTIFS('Loot History'!$A:$A,D195,'Loot History'!$G:$G,"Upgrade"))</f>
        <v/>
      </c>
      <c r="I195" s="11" t="str">
        <f>IF(D195="","",COUNTIFS('Loot History'!$A:$A,D195,'Loot History'!$G:$G,"Offspecc"))</f>
        <v/>
      </c>
      <c r="J195" s="11" t="str">
        <f>IF(D195="","",COUNTIFS('Loot History'!$A:$A,D195,'Loot History'!$G:$G,"Passen"))</f>
        <v/>
      </c>
      <c r="K195" s="11" t="str">
        <f t="shared" si="6"/>
        <v/>
      </c>
      <c r="L195" t="str">
        <f>IF(D195="","",IFERROR(INDEX('Loot History'!$I:$I,MATCH(D195,'Loot History'!$A:$A,0)),""))</f>
        <v/>
      </c>
    </row>
    <row r="196" spans="5:37" x14ac:dyDescent="0.25">
      <c r="E196" s="11" t="str">
        <f>IF(D196="","",COUNTIF('Loot History'!$A:$A,D196))</f>
        <v/>
      </c>
      <c r="F196" s="11" t="str">
        <f>IF(D196="","",COUNTIFS('Loot History'!$A:$A,D196,'Loot History'!$G:$G,"BiS"))</f>
        <v/>
      </c>
      <c r="G196" s="11" t="str">
        <f>IF(D196="","",COUNTIFS('Loot History'!$A:$A,D196,'Loot History'!$G:$G,"2nd BiS"))</f>
        <v/>
      </c>
      <c r="H196" s="11" t="str">
        <f>IF(D196="","",COUNTIFS('Loot History'!$A:$A,D196,'Loot History'!$G:$G,"Upgrade"))</f>
        <v/>
      </c>
      <c r="I196" s="11" t="str">
        <f>IF(D196="","",COUNTIFS('Loot History'!$A:$A,D196,'Loot History'!$G:$G,"Offspecc"))</f>
        <v/>
      </c>
      <c r="J196" s="11" t="str">
        <f>IF(D196="","",COUNTIFS('Loot History'!$A:$A,D196,'Loot History'!$G:$G,"Passen"))</f>
        <v/>
      </c>
      <c r="K196" s="11" t="str">
        <f t="shared" si="6"/>
        <v/>
      </c>
      <c r="L196" t="str">
        <f>IF(D196="","",IFERROR(INDEX('Loot History'!$I:$I,MATCH(D196,'Loot History'!$A:$A,0)),""))</f>
        <v/>
      </c>
    </row>
    <row r="197" spans="5:37" x14ac:dyDescent="0.25">
      <c r="E197" s="11" t="str">
        <f>IF(D197="","",COUNTIF('Loot History'!$A:$A,D197))</f>
        <v/>
      </c>
      <c r="F197" s="11" t="str">
        <f>IF(D197="","",COUNTIFS('Loot History'!$A:$A,D197,'Loot History'!$G:$G,"BiS"))</f>
        <v/>
      </c>
      <c r="G197" s="11" t="str">
        <f>IF(D197="","",COUNTIFS('Loot History'!$A:$A,D197,'Loot History'!$G:$G,"2nd BiS"))</f>
        <v/>
      </c>
      <c r="H197" s="11" t="str">
        <f>IF(D197="","",COUNTIFS('Loot History'!$A:$A,D197,'Loot History'!$G:$G,"Upgrade"))</f>
        <v/>
      </c>
      <c r="I197" s="11" t="str">
        <f>IF(D197="","",COUNTIFS('Loot History'!$A:$A,D197,'Loot History'!$G:$G,"Offspecc"))</f>
        <v/>
      </c>
      <c r="J197" s="11" t="str">
        <f>IF(D197="","",COUNTIFS('Loot History'!$A:$A,D197,'Loot History'!$G:$G,"Passen"))</f>
        <v/>
      </c>
      <c r="K197" s="11" t="str">
        <f t="shared" si="6"/>
        <v/>
      </c>
      <c r="L197" t="str">
        <f>IF(D197="","",IFERROR(INDEX('Loot History'!$I:$I,MATCH(D197,'Loot History'!$A:$A,0)),""))</f>
        <v/>
      </c>
    </row>
    <row r="198" spans="5:37" x14ac:dyDescent="0.25">
      <c r="E198" s="11" t="str">
        <f>IF(D198="","",COUNTIF('Loot History'!$A:$A,D198))</f>
        <v/>
      </c>
      <c r="F198" s="11" t="str">
        <f>IF(D198="","",COUNTIFS('Loot History'!$A:$A,D198,'Loot History'!$G:$G,"BiS"))</f>
        <v/>
      </c>
      <c r="G198" s="11" t="str">
        <f>IF(D198="","",COUNTIFS('Loot History'!$A:$A,D198,'Loot History'!$G:$G,"2nd BiS"))</f>
        <v/>
      </c>
      <c r="H198" s="11" t="str">
        <f>IF(D198="","",COUNTIFS('Loot History'!$A:$A,D198,'Loot History'!$G:$G,"Upgrade"))</f>
        <v/>
      </c>
      <c r="I198" s="11" t="str">
        <f>IF(D198="","",COUNTIFS('Loot History'!$A:$A,D198,'Loot History'!$G:$G,"Offspecc"))</f>
        <v/>
      </c>
      <c r="J198" s="11" t="str">
        <f>IF(D198="","",COUNTIFS('Loot History'!$A:$A,D198,'Loot History'!$G:$G,"Passen"))</f>
        <v/>
      </c>
      <c r="K198" s="11" t="str">
        <f t="shared" si="6"/>
        <v/>
      </c>
      <c r="L198" t="str">
        <f>IF(D198="","",IFERROR(INDEX('Loot History'!$I:$I,MATCH(D198,'Loot History'!$A:$A,0)),""))</f>
        <v/>
      </c>
    </row>
    <row r="199" spans="5:37" x14ac:dyDescent="0.25">
      <c r="E199" s="11" t="str">
        <f>IF(D199="","",COUNTIF('Loot History'!$A:$A,D199))</f>
        <v/>
      </c>
      <c r="F199" s="11" t="str">
        <f>IF(D199="","",COUNTIFS('Loot History'!$A:$A,D199,'Loot History'!$G:$G,"BiS"))</f>
        <v/>
      </c>
      <c r="G199" s="11" t="str">
        <f>IF(D199="","",COUNTIFS('Loot History'!$A:$A,D199,'Loot History'!$G:$G,"2nd BiS"))</f>
        <v/>
      </c>
      <c r="H199" s="11" t="str">
        <f>IF(D199="","",COUNTIFS('Loot History'!$A:$A,D199,'Loot History'!$G:$G,"Upgrade"))</f>
        <v/>
      </c>
      <c r="I199" s="11" t="str">
        <f>IF(D199="","",COUNTIFS('Loot History'!$A:$A,D199,'Loot History'!$G:$G,"Offspecc"))</f>
        <v/>
      </c>
      <c r="J199" s="11" t="str">
        <f>IF(D199="","",COUNTIFS('Loot History'!$A:$A,D199,'Loot History'!$G:$G,"Passen"))</f>
        <v/>
      </c>
      <c r="K199" s="11" t="str">
        <f t="shared" si="6"/>
        <v/>
      </c>
      <c r="L199" t="str">
        <f>IF(D199="","",IFERROR(INDEX('Loot History'!$I:$I,MATCH(D199,'Loot History'!$A:$A,0)),""))</f>
        <v/>
      </c>
    </row>
    <row r="200" spans="5:37" x14ac:dyDescent="0.25">
      <c r="E200" s="11" t="str">
        <f>IF(D200="","",COUNTIF('Loot History'!$A:$A,D200))</f>
        <v/>
      </c>
      <c r="F200" s="11" t="str">
        <f>IF(D200="","",COUNTIFS('Loot History'!$A:$A,D200,'Loot History'!$G:$G,"BiS"))</f>
        <v/>
      </c>
      <c r="G200" s="11" t="str">
        <f>IF(D200="","",COUNTIFS('Loot History'!$A:$A,D200,'Loot History'!$G:$G,"2nd BiS"))</f>
        <v/>
      </c>
      <c r="H200" s="11" t="str">
        <f>IF(D200="","",COUNTIFS('Loot History'!$A:$A,D200,'Loot History'!$G:$G,"Upgrade"))</f>
        <v/>
      </c>
      <c r="I200" s="11" t="str">
        <f>IF(D200="","",COUNTIFS('Loot History'!$A:$A,D200,'Loot History'!$G:$G,"Offspecc"))</f>
        <v/>
      </c>
      <c r="J200" s="11" t="str">
        <f>IF(D200="","",COUNTIFS('Loot History'!$A:$A,D200,'Loot History'!$G:$G,"Passen"))</f>
        <v/>
      </c>
      <c r="K200" s="11" t="str">
        <f t="shared" si="6"/>
        <v/>
      </c>
      <c r="L200" t="str">
        <f>IF(D200="","",IFERROR(INDEX('Loot History'!$I:$I,MATCH(D200,'Loot History'!$A:$A,0)),""))</f>
        <v/>
      </c>
    </row>
    <row r="201" spans="5:37" x14ac:dyDescent="0.25">
      <c r="E201" s="11" t="str">
        <f>IF(D201="","",COUNTIF('Loot History'!$A:$A,D201))</f>
        <v/>
      </c>
      <c r="F201" s="11" t="str">
        <f>IF(D201="","",COUNTIFS('Loot History'!$A:$A,D201,'Loot History'!$G:$G,"BiS"))</f>
        <v/>
      </c>
      <c r="G201" s="11" t="str">
        <f>IF(D201="","",COUNTIFS('Loot History'!$A:$A,D201,'Loot History'!$G:$G,"2nd BiS"))</f>
        <v/>
      </c>
      <c r="H201" s="11" t="str">
        <f>IF(D201="","",COUNTIFS('Loot History'!$A:$A,D201,'Loot History'!$G:$G,"Upgrade"))</f>
        <v/>
      </c>
      <c r="I201" s="11" t="str">
        <f>IF(D201="","",COUNTIFS('Loot History'!$A:$A,D201,'Loot History'!$G:$G,"Offspecc"))</f>
        <v/>
      </c>
      <c r="J201" s="11" t="str">
        <f>IF(D201="","",COUNTIFS('Loot History'!$A:$A,D201,'Loot History'!$G:$G,"Passen"))</f>
        <v/>
      </c>
      <c r="K201" s="11" t="str">
        <f t="shared" si="6"/>
        <v/>
      </c>
      <c r="L201" t="str">
        <f>IF(D201="","",IFERROR(INDEX('Loot History'!$I:$I,MATCH(D201,'Loot History'!$A:$A,0)),""))</f>
        <v/>
      </c>
    </row>
    <row r="202" spans="5:37" x14ac:dyDescent="0.25">
      <c r="E202" s="11" t="str">
        <f>IF(D202="","",COUNTIF('Loot History'!$A:$A,D202))</f>
        <v/>
      </c>
      <c r="F202" s="11" t="str">
        <f>IF(D202="","",COUNTIFS('Loot History'!$A:$A,D202,'Loot History'!$G:$G,"BiS"))</f>
        <v/>
      </c>
      <c r="G202" s="11" t="str">
        <f>IF(D202="","",COUNTIFS('Loot History'!$A:$A,D202,'Loot History'!$G:$G,"2nd BiS"))</f>
        <v/>
      </c>
      <c r="H202" s="11" t="str">
        <f>IF(D202="","",COUNTIFS('Loot History'!$A:$A,D202,'Loot History'!$G:$G,"Upgrade"))</f>
        <v/>
      </c>
      <c r="I202" s="11" t="str">
        <f>IF(D202="","",COUNTIFS('Loot History'!$A:$A,D202,'Loot History'!$G:$G,"Offspecc"))</f>
        <v/>
      </c>
      <c r="J202" s="11" t="str">
        <f>IF(D202="","",COUNTIFS('Loot History'!$A:$A,D202,'Loot History'!$G:$G,"Passen"))</f>
        <v/>
      </c>
      <c r="K202" s="11" t="str">
        <f t="shared" si="6"/>
        <v/>
      </c>
      <c r="L202" t="str">
        <f>IF(D202="","",IFERROR(INDEX('Loot History'!$I:$I,MATCH(D202,'Loot History'!$A:$A,0)),""))</f>
        <v/>
      </c>
    </row>
    <row r="204" spans="5:37" x14ac:dyDescent="0.25">
      <c r="AA204" s="10" t="s">
        <v>236</v>
      </c>
      <c r="AB204" s="12">
        <f t="shared" ref="AB204:AH204" si="7">SUM(E3:E202)</f>
        <v>214</v>
      </c>
      <c r="AC204" s="12">
        <f t="shared" si="7"/>
        <v>119</v>
      </c>
      <c r="AD204" s="12">
        <f t="shared" si="7"/>
        <v>25</v>
      </c>
      <c r="AE204" s="12">
        <f t="shared" si="7"/>
        <v>33</v>
      </c>
      <c r="AF204" s="12">
        <f t="shared" si="7"/>
        <v>31</v>
      </c>
      <c r="AG204" s="12">
        <f t="shared" si="7"/>
        <v>0</v>
      </c>
      <c r="AH204" s="12">
        <f t="shared" si="7"/>
        <v>6</v>
      </c>
      <c r="AI204" s="12" t="e">
        <f>SUM(#REF!)</f>
        <v>#REF!</v>
      </c>
      <c r="AJ204" s="10"/>
      <c r="AK204" s="12"/>
    </row>
    <row r="207" spans="5:37" x14ac:dyDescent="0.25">
      <c r="AD207" s="15" t="s">
        <v>237</v>
      </c>
      <c r="AE207" s="15"/>
      <c r="AF207" s="15"/>
      <c r="AH207" s="15" t="s">
        <v>238</v>
      </c>
      <c r="AI207" s="15"/>
      <c r="AK207" s="15"/>
    </row>
    <row r="208" spans="5:37" x14ac:dyDescent="0.25">
      <c r="AD208" s="6" t="s">
        <v>218</v>
      </c>
      <c r="AE208" s="6" t="s">
        <v>229</v>
      </c>
      <c r="AF208" s="6" t="s">
        <v>239</v>
      </c>
      <c r="AH208" s="6" t="s">
        <v>224</v>
      </c>
      <c r="AI208" s="6" t="s">
        <v>229</v>
      </c>
      <c r="AK208" s="6"/>
    </row>
    <row r="209" spans="30:35" x14ac:dyDescent="0.25">
      <c r="AD209" t="s">
        <v>23</v>
      </c>
      <c r="AE209" s="11">
        <f>COUNTIF('Loot History'!$G:$G,"BiS")</f>
        <v>147</v>
      </c>
      <c r="AF209" s="16">
        <f>IFERROR(AE209/COUNTA('Loot History'!$D$2:$D$987),0)</f>
        <v>0.52877697841726623</v>
      </c>
      <c r="AH209" t="str" cm="1">
        <f t="array" ref="AH209:AH217">IFERROR(_xlfn._xlws.SORT(_xlfn.UNIQUE(_xlfn._xlws.FILTER('Loot History'!I2:I987,'Loot History'!I2:I987&lt;&gt;""))),"")</f>
        <v>DRUID</v>
      </c>
      <c r="AI209" s="11">
        <f>IF(AH209="","",COUNTIF('Loot History'!$I:$I,AH209))</f>
        <v>30</v>
      </c>
    </row>
    <row r="210" spans="30:35" x14ac:dyDescent="0.25">
      <c r="AD210" t="s">
        <v>40</v>
      </c>
      <c r="AE210" s="11">
        <f>COUNTIF('Loot History'!$G:$G,"2nd BiS")</f>
        <v>29</v>
      </c>
      <c r="AF210" s="16">
        <f>IFERROR(AE210/COUNTA('Loot History'!$D$2:$D$987),0)</f>
        <v>0.10431654676258993</v>
      </c>
      <c r="AH210" t="str">
        <v>HUNTER</v>
      </c>
      <c r="AI210" s="11">
        <f>IF(AH210="","",COUNTIF('Loot History'!$I:$I,AH210))</f>
        <v>21</v>
      </c>
    </row>
    <row r="211" spans="30:35" x14ac:dyDescent="0.25">
      <c r="AD211" t="s">
        <v>31</v>
      </c>
      <c r="AE211" s="11">
        <f>COUNTIF('Loot History'!$G:$G,"Upgrade")</f>
        <v>40</v>
      </c>
      <c r="AF211" s="16">
        <f>IFERROR(AE211/COUNTA('Loot History'!$D$2:$D$987),0)</f>
        <v>0.14388489208633093</v>
      </c>
      <c r="AH211" t="str">
        <v>MAGE</v>
      </c>
      <c r="AI211" s="11">
        <f>IF(AH211="","",COUNTIF('Loot History'!$I:$I,AH211))</f>
        <v>32</v>
      </c>
    </row>
    <row r="212" spans="30:35" x14ac:dyDescent="0.25">
      <c r="AD212" t="s">
        <v>37</v>
      </c>
      <c r="AE212" s="11">
        <f>COUNTIF('Loot History'!$G:$G,"Offspecc")</f>
        <v>43</v>
      </c>
      <c r="AF212" s="16">
        <f>IFERROR(AE212/COUNTA('Loot History'!$D$2:$D$987),0)</f>
        <v>0.15467625899280577</v>
      </c>
      <c r="AH212" t="str">
        <v>PALADIN</v>
      </c>
      <c r="AI212" s="11">
        <f>IF(AH212="","",COUNTIF('Loot History'!$I:$I,AH212))</f>
        <v>54</v>
      </c>
    </row>
    <row r="213" spans="30:35" x14ac:dyDescent="0.25">
      <c r="AD213" t="s">
        <v>62</v>
      </c>
      <c r="AE213" s="11">
        <f>COUNTIF('Loot History'!$G:$G,"Passen")</f>
        <v>0</v>
      </c>
      <c r="AF213" s="16">
        <f>IFERROR(AE213/COUNTA('Loot History'!$D$2:$D$987),0)</f>
        <v>0</v>
      </c>
      <c r="AH213" t="str">
        <v>PRIEST</v>
      </c>
      <c r="AI213" s="11">
        <f>IF(AH213="","",COUNTIF('Loot History'!$I:$I,AH213))</f>
        <v>28</v>
      </c>
    </row>
    <row r="214" spans="30:35" x14ac:dyDescent="0.25">
      <c r="AD214" t="s">
        <v>240</v>
      </c>
      <c r="AE214" s="11">
        <f>COUNTIF('Loot History'!$G:$G,"Kandidat wählt die Antwort aus, bitte warten")</f>
        <v>0</v>
      </c>
      <c r="AF214" s="16">
        <f>IFERROR(AE214/COUNTA('Loot History'!$D$2:$D$987),0)</f>
        <v>0</v>
      </c>
      <c r="AH214" t="str">
        <v>ROGUE</v>
      </c>
      <c r="AI214" s="11">
        <f>IF(AH214="","",COUNTIF('Loot History'!$I:$I,AH214))</f>
        <v>6</v>
      </c>
    </row>
    <row r="215" spans="30:35" x14ac:dyDescent="0.25">
      <c r="AH215" t="str">
        <v>SHAMAN</v>
      </c>
      <c r="AI215" s="11">
        <f>IF(AH215="","",COUNTIF('Loot History'!$I:$I,AH215))</f>
        <v>45</v>
      </c>
    </row>
    <row r="216" spans="30:35" x14ac:dyDescent="0.25">
      <c r="AH216" t="str">
        <v>WARLOCK</v>
      </c>
      <c r="AI216" s="11">
        <f>IF(AH216="","",COUNTIF('Loot History'!$I:$I,AH216))</f>
        <v>15</v>
      </c>
    </row>
    <row r="217" spans="30:35" x14ac:dyDescent="0.25">
      <c r="AH217" t="str">
        <v>WARRIOR</v>
      </c>
      <c r="AI217" s="11">
        <f>IF(AH217="","",COUNTIF('Loot History'!$I:$I,AH217))</f>
        <v>47</v>
      </c>
    </row>
    <row r="261" spans="4:6" x14ac:dyDescent="0.25">
      <c r="D261" s="4"/>
      <c r="E261" s="11" t="str">
        <f>IF(D261="","",COUNTIF('Loot History'!$B:$B,D261))</f>
        <v/>
      </c>
      <c r="F261" t="str">
        <f>IF(D261="","",IFERROR(INDEX('Loot History'!$J:$J,MATCH(D261,'Loot History'!$B:$B,0)),""))</f>
        <v/>
      </c>
    </row>
    <row r="262" spans="4:6" x14ac:dyDescent="0.25">
      <c r="D262" s="4"/>
      <c r="E262" s="11" t="str">
        <f>IF(D262="","",COUNTIF('Loot History'!$B:$B,D262))</f>
        <v/>
      </c>
      <c r="F262" t="str">
        <f>IF(D262="","",IFERROR(INDEX('Loot History'!$J:$J,MATCH(D262,'Loot History'!$B:$B,0)),""))</f>
        <v/>
      </c>
    </row>
    <row r="263" spans="4:6" x14ac:dyDescent="0.25">
      <c r="D263" s="4"/>
      <c r="E263" s="11" t="str">
        <f>IF(D263="","",COUNTIF('Loot History'!$B:$B,D263))</f>
        <v/>
      </c>
      <c r="F263" t="str">
        <f>IF(D263="","",IFERROR(INDEX('Loot History'!$J:$J,MATCH(D263,'Loot History'!$B:$B,0)),""))</f>
        <v/>
      </c>
    </row>
    <row r="264" spans="4:6" x14ac:dyDescent="0.25">
      <c r="D264" s="4"/>
      <c r="E264" s="11" t="str">
        <f>IF(D264="","",COUNTIF('Loot History'!$B:$B,D264))</f>
        <v/>
      </c>
      <c r="F264" t="str">
        <f>IF(D264="","",IFERROR(INDEX('Loot History'!$J:$J,MATCH(D264,'Loot History'!$B:$B,0)),""))</f>
        <v/>
      </c>
    </row>
    <row r="265" spans="4:6" x14ac:dyDescent="0.25">
      <c r="D265" s="4"/>
      <c r="E265" s="11" t="str">
        <f>IF(D265="","",COUNTIF('Loot History'!$B:$B,D265))</f>
        <v/>
      </c>
      <c r="F265" t="str">
        <f>IF(D265="","",IFERROR(INDEX('Loot History'!$J:$J,MATCH(D265,'Loot History'!$B:$B,0)),""))</f>
        <v/>
      </c>
    </row>
    <row r="266" spans="4:6" x14ac:dyDescent="0.25">
      <c r="D266" s="4"/>
      <c r="E266" s="11" t="str">
        <f>IF(D266="","",COUNTIF('Loot History'!$B:$B,D266))</f>
        <v/>
      </c>
      <c r="F266" t="str">
        <f>IF(D266="","",IFERROR(INDEX('Loot History'!$J:$J,MATCH(D266,'Loot History'!$B:$B,0)),""))</f>
        <v/>
      </c>
    </row>
    <row r="267" spans="4:6" x14ac:dyDescent="0.25">
      <c r="D267" s="4"/>
      <c r="E267" s="11" t="str">
        <f>IF(D267="","",COUNTIF('Loot History'!$B:$B,D267))</f>
        <v/>
      </c>
      <c r="F267" t="str">
        <f>IF(D267="","",IFERROR(INDEX('Loot History'!$J:$J,MATCH(D267,'Loot History'!$B:$B,0)),""))</f>
        <v/>
      </c>
    </row>
    <row r="268" spans="4:6" x14ac:dyDescent="0.25">
      <c r="D268" s="4"/>
      <c r="E268" s="11" t="str">
        <f>IF(D268="","",COUNTIF('Loot History'!$B:$B,D268))</f>
        <v/>
      </c>
      <c r="F268" t="str">
        <f>IF(D268="","",IFERROR(INDEX('Loot History'!$J:$J,MATCH(D268,'Loot History'!$B:$B,0)),""))</f>
        <v/>
      </c>
    </row>
    <row r="269" spans="4:6" x14ac:dyDescent="0.25">
      <c r="D269" s="4"/>
      <c r="E269" s="11" t="str">
        <f>IF(D269="","",COUNTIF('Loot History'!$B:$B,D269))</f>
        <v/>
      </c>
      <c r="F269" t="str">
        <f>IF(D269="","",IFERROR(INDEX('Loot History'!$J:$J,MATCH(D269,'Loot History'!$B:$B,0)),""))</f>
        <v/>
      </c>
    </row>
    <row r="270" spans="4:6" x14ac:dyDescent="0.25">
      <c r="D270" s="4"/>
      <c r="E270" s="11" t="str">
        <f>IF(D270="","",COUNTIF('Loot History'!$B:$B,D270))</f>
        <v/>
      </c>
      <c r="F270" t="str">
        <f>IF(D270="","",IFERROR(INDEX('Loot History'!$J:$J,MATCH(D270,'Loot History'!$B:$B,0)),""))</f>
        <v/>
      </c>
    </row>
    <row r="271" spans="4:6" x14ac:dyDescent="0.25">
      <c r="D271" s="4"/>
      <c r="E271" s="11" t="str">
        <f>IF(D271="","",COUNTIF('Loot History'!$B:$B,D271))</f>
        <v/>
      </c>
      <c r="F271" t="str">
        <f>IF(D271="","",IFERROR(INDEX('Loot History'!$J:$J,MATCH(D271,'Loot History'!$B:$B,0)),""))</f>
        <v/>
      </c>
    </row>
    <row r="272" spans="4:6" x14ac:dyDescent="0.25">
      <c r="D272" s="4"/>
      <c r="E272" s="11" t="str">
        <f>IF(D272="","",COUNTIF('Loot History'!$B:$B,D272))</f>
        <v/>
      </c>
      <c r="F272" t="str">
        <f>IF(D272="","",IFERROR(INDEX('Loot History'!$J:$J,MATCH(D272,'Loot History'!$B:$B,0)),""))</f>
        <v/>
      </c>
    </row>
    <row r="273" spans="4:6" x14ac:dyDescent="0.25">
      <c r="D273" s="4"/>
      <c r="E273" s="11" t="str">
        <f>IF(D273="","",COUNTIF('Loot History'!$B:$B,D273))</f>
        <v/>
      </c>
      <c r="F273" t="str">
        <f>IF(D273="","",IFERROR(INDEX('Loot History'!$J:$J,MATCH(D273,'Loot History'!$B:$B,0)),""))</f>
        <v/>
      </c>
    </row>
    <row r="274" spans="4:6" x14ac:dyDescent="0.25">
      <c r="D274" s="4"/>
      <c r="E274" s="11" t="str">
        <f>IF(D274="","",COUNTIF('Loot History'!$B:$B,D274))</f>
        <v/>
      </c>
      <c r="F274" t="str">
        <f>IF(D274="","",IFERROR(INDEX('Loot History'!$J:$J,MATCH(D274,'Loot History'!$B:$B,0)),""))</f>
        <v/>
      </c>
    </row>
    <row r="275" spans="4:6" x14ac:dyDescent="0.25">
      <c r="D275" s="4"/>
      <c r="E275" s="11" t="str">
        <f>IF(D275="","",COUNTIF('Loot History'!$B:$B,D275))</f>
        <v/>
      </c>
      <c r="F275" t="str">
        <f>IF(D275="","",IFERROR(INDEX('Loot History'!$J:$J,MATCH(D275,'Loot History'!$B:$B,0)),""))</f>
        <v/>
      </c>
    </row>
    <row r="276" spans="4:6" x14ac:dyDescent="0.25">
      <c r="D276" s="4"/>
      <c r="E276" s="11" t="str">
        <f>IF(D276="","",COUNTIF('Loot History'!$B:$B,D276))</f>
        <v/>
      </c>
      <c r="F276" t="str">
        <f>IF(D276="","",IFERROR(INDEX('Loot History'!$J:$J,MATCH(D276,'Loot History'!$B:$B,0)),""))</f>
        <v/>
      </c>
    </row>
    <row r="277" spans="4:6" x14ac:dyDescent="0.25">
      <c r="D277" s="4"/>
      <c r="E277" s="11" t="str">
        <f>IF(D277="","",COUNTIF('Loot History'!$B:$B,D277))</f>
        <v/>
      </c>
      <c r="F277" t="str">
        <f>IF(D277="","",IFERROR(INDEX('Loot History'!$J:$J,MATCH(D277,'Loot History'!$B:$B,0)),""))</f>
        <v/>
      </c>
    </row>
    <row r="278" spans="4:6" x14ac:dyDescent="0.25">
      <c r="D278" s="4"/>
      <c r="E278" s="11" t="str">
        <f>IF(D278="","",COUNTIF('Loot History'!$B:$B,D278))</f>
        <v/>
      </c>
      <c r="F278" t="str">
        <f>IF(D278="","",IFERROR(INDEX('Loot History'!$J:$J,MATCH(D278,'Loot History'!$B:$B,0)),""))</f>
        <v/>
      </c>
    </row>
    <row r="279" spans="4:6" x14ac:dyDescent="0.25">
      <c r="D279" s="4"/>
      <c r="E279" s="11" t="str">
        <f>IF(D279="","",COUNTIF('Loot History'!$B:$B,D279))</f>
        <v/>
      </c>
      <c r="F279" t="str">
        <f>IF(D279="","",IFERROR(INDEX('Loot History'!$J:$J,MATCH(D279,'Loot History'!$B:$B,0)),""))</f>
        <v/>
      </c>
    </row>
    <row r="280" spans="4:6" x14ac:dyDescent="0.25">
      <c r="D280" s="4"/>
      <c r="E280" s="11" t="str">
        <f>IF(D280="","",COUNTIF('Loot History'!$B:$B,D280))</f>
        <v/>
      </c>
      <c r="F280" t="str">
        <f>IF(D280="","",IFERROR(INDEX('Loot History'!$J:$J,MATCH(D280,'Loot History'!$B:$B,0)),""))</f>
        <v/>
      </c>
    </row>
    <row r="281" spans="4:6" x14ac:dyDescent="0.25">
      <c r="D281" s="4"/>
      <c r="E281" s="11" t="str">
        <f>IF(D281="","",COUNTIF('Loot History'!$B:$B,D281))</f>
        <v/>
      </c>
      <c r="F281" t="str">
        <f>IF(D281="","",IFERROR(INDEX('Loot History'!$J:$J,MATCH(D281,'Loot History'!$B:$B,0)),""))</f>
        <v/>
      </c>
    </row>
    <row r="282" spans="4:6" x14ac:dyDescent="0.25">
      <c r="D282" s="4"/>
      <c r="E282" s="11" t="str">
        <f>IF(D282="","",COUNTIF('Loot History'!$B:$B,D282))</f>
        <v/>
      </c>
      <c r="F282" t="str">
        <f>IF(D282="","",IFERROR(INDEX('Loot History'!$J:$J,MATCH(D282,'Loot History'!$B:$B,0)),""))</f>
        <v/>
      </c>
    </row>
    <row r="283" spans="4:6" x14ac:dyDescent="0.25">
      <c r="D283" s="4"/>
      <c r="E283" s="11" t="str">
        <f>IF(D283="","",COUNTIF('Loot History'!$B:$B,D283))</f>
        <v/>
      </c>
      <c r="F283" t="str">
        <f>IF(D283="","",IFERROR(INDEX('Loot History'!$J:$J,MATCH(D283,'Loot History'!$B:$B,0)),""))</f>
        <v/>
      </c>
    </row>
  </sheetData>
  <conditionalFormatting sqref="E3:E4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Loot History</vt:lpstr>
      <vt:lpstr>Player Lookup</vt:lpstr>
      <vt:lpstr>Dashboard</vt:lpstr>
      <vt:lpstr>chartRespCounts</vt:lpstr>
      <vt:lpstr>chartRespLabels</vt:lpstr>
      <vt:lpstr>'Loot History'!message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Christopher Pfister</dc:creator>
  <cp:keywords/>
  <dc:description/>
  <cp:lastModifiedBy>Christopher Pfister</cp:lastModifiedBy>
  <cp:revision/>
  <dcterms:created xsi:type="dcterms:W3CDTF">2026-05-26T16:11:16Z</dcterms:created>
  <dcterms:modified xsi:type="dcterms:W3CDTF">2026-06-30T11:47:23Z</dcterms:modified>
  <cp:category/>
  <cp:contentStatus/>
</cp:coreProperties>
</file>